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DiemDanh" sheetId="1" state="visible" r:id="rId1"/>
  </sheets>
  <definedNames>
    <definedName name="_xlnm.Print_Titles" localSheetId="0">'ThongKeDiemDanh'!$12:$13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2"/>
    </font>
    <font>
      <name val="Times New Roman"/>
      <b val="1"/>
      <i val="1"/>
      <sz val="13"/>
    </font>
    <font>
      <name val="Times New Roman"/>
      <b val="1"/>
      <sz val="16"/>
    </font>
    <font>
      <name val="Times New Roman"/>
      <sz val="12"/>
    </font>
    <font>
      <name val="Times New Roman"/>
      <b val="1"/>
      <sz val="11"/>
    </font>
    <font>
      <name val="Times New Roman"/>
      <i val="1"/>
      <sz val="10"/>
    </font>
    <font>
      <name val="Times New Roman"/>
      <i val="1"/>
      <sz val="11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textRotation="90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9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Times New Roman"/>
        <b val="1"/>
        <color rgb="009C0006"/>
      </font>
      <fill>
        <patternFill patternType="solid">
          <fgColor rgb="00FFC7CE"/>
        </patternFill>
      </fill>
    </dxf>
    <dxf>
      <font>
        <name val="Times New Roman"/>
        <b val="1"/>
        <color rgb="009C5700"/>
      </font>
      <fill>
        <patternFill patternType="solid">
          <fgColor rgb="00FFEB9C"/>
        </patternFill>
      </fill>
    </dxf>
    <dxf>
      <font>
        <name val="Times New Roman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showGridLines="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7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7.5" customWidth="1" min="17" max="17"/>
    <col width="7.5" customWidth="1" min="18" max="18"/>
    <col width="7.5" customWidth="1" min="19" max="19"/>
    <col width="10" customWidth="1" min="20" max="20"/>
    <col width="18" customWidth="1" min="21" max="21"/>
  </cols>
  <sheetData>
    <row r="1" ht="22" customHeight="1">
      <c r="A1" s="1" t="inlineStr">
        <is>
          <t>HỌC VIỆN KỸ THUẬT MẬT MÃ</t>
        </is>
      </c>
      <c r="G1" s="1" t="inlineStr">
        <is>
          <t>CỘNG HÒA XÃ HỘI CHỦ NGHĨA VIỆT NAM</t>
        </is>
      </c>
    </row>
    <row r="2" ht="22" customHeight="1">
      <c r="A2" s="2" t="inlineStr">
        <is>
          <t>Khoa: Công nghệ thông tin</t>
        </is>
      </c>
      <c r="G2" s="3" t="inlineStr">
        <is>
          <t>Độc lập - Tự do - Hạnh phúc</t>
        </is>
      </c>
    </row>
    <row r="3" ht="10" customHeight="1"/>
    <row r="4" ht="28" customHeight="1">
      <c r="A4" s="4" t="inlineStr">
        <is>
          <t>BẢNG THỐNG KÊ ĐIỂM DANH LỚP HỌC PHẦN</t>
        </is>
      </c>
    </row>
    <row r="5" ht="22" customHeight="1">
      <c r="A5" s="2" t="inlineStr">
        <is>
          <t>HỌC KỲ 2 NĂM HỌC 2025 - 2026</t>
        </is>
      </c>
    </row>
    <row r="6" ht="20" customHeight="1">
      <c r="A6" s="5" t="inlineStr">
        <is>
          <t>Học phần:</t>
        </is>
      </c>
      <c r="C6" s="6" t="inlineStr">
        <is>
          <t>Lập trình nhân Linux</t>
        </is>
      </c>
      <c r="K6" s="5" t="inlineStr">
        <is>
          <t>Mã học phần:</t>
        </is>
      </c>
      <c r="O6" s="6" t="inlineStr">
        <is>
          <t>CTCTHT17</t>
        </is>
      </c>
    </row>
    <row r="7" ht="20" customHeight="1">
      <c r="A7" s="5" t="inlineStr">
        <is>
          <t>Lớp học phần:</t>
        </is>
      </c>
      <c r="C7" s="6" t="inlineStr">
        <is>
          <t>Lập trình nhân Linux-2-25 (C701)</t>
        </is>
      </c>
      <c r="K7" s="5" t="inlineStr">
        <is>
          <t>Số TC:</t>
        </is>
      </c>
      <c r="O7" s="6" t="n">
        <v>4</v>
      </c>
    </row>
    <row r="8" ht="20" customHeight="1">
      <c r="A8" s="5" t="inlineStr">
        <is>
          <t>Giảng viên giảng dạy:</t>
        </is>
      </c>
      <c r="C8" s="6" t="inlineStr">
        <is>
          <t>Phạm Văn Hưởng</t>
        </is>
      </c>
      <c r="K8" s="5" t="inlineStr">
        <is>
          <t>Khóa:</t>
        </is>
      </c>
      <c r="O8" s="6" t="inlineStr">
        <is>
          <t>CT7</t>
        </is>
      </c>
    </row>
    <row r="9" ht="20" customHeight="1">
      <c r="A9" s="5" t="inlineStr">
        <is>
          <t>Tổng số SV:</t>
        </is>
      </c>
      <c r="C9" s="6">
        <f>COUNTA(B14:B52)</f>
        <v/>
      </c>
      <c r="K9" s="5" t="inlineStr">
        <is>
          <t>Tổng số buổi:</t>
        </is>
      </c>
      <c r="O9" s="6" t="n">
        <v>12</v>
      </c>
    </row>
    <row r="10" ht="20" customHeight="1">
      <c r="A10" s="5" t="inlineStr">
        <is>
          <t>Thời gian:</t>
        </is>
      </c>
      <c r="C10" s="6" t="inlineStr">
        <is>
          <t>12/01/2026 - 30/03/2026</t>
        </is>
      </c>
      <c r="K10" s="5" t="inlineStr">
        <is>
          <t>Ngày xuất:</t>
        </is>
      </c>
      <c r="O10" s="6" t="inlineStr">
        <is>
          <t>04/10/2026</t>
        </is>
      </c>
    </row>
    <row r="12" ht="24" customHeight="1">
      <c r="A12" s="7" t="inlineStr">
        <is>
          <t>STT</t>
        </is>
      </c>
      <c r="B12" s="7" t="inlineStr">
        <is>
          <t>Mã Sinh Viên</t>
        </is>
      </c>
      <c r="C12" s="7" t="inlineStr">
        <is>
          <t>Họ và tên</t>
        </is>
      </c>
      <c r="D12" s="8" t="n"/>
      <c r="E12" s="7" t="inlineStr">
        <is>
          <t>Điểm danh theo ngày học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7" t="inlineStr">
        <is>
          <t>Tổng hợp</t>
        </is>
      </c>
      <c r="R12" s="8" t="n"/>
      <c r="S12" s="8" t="n"/>
      <c r="T12" s="8" t="n"/>
      <c r="U12" s="7" t="inlineStr">
        <is>
          <t>Ghi chú</t>
        </is>
      </c>
    </row>
    <row r="13" ht="70" customHeight="1">
      <c r="A13" s="8" t="n"/>
      <c r="B13" s="8" t="n"/>
      <c r="C13" s="8" t="n"/>
      <c r="D13" s="8" t="n"/>
      <c r="E13" s="9" t="inlineStr">
        <is>
          <t>12/01/2026</t>
        </is>
      </c>
      <c r="F13" s="9" t="inlineStr">
        <is>
          <t>19/01/2026</t>
        </is>
      </c>
      <c r="G13" s="9" t="inlineStr">
        <is>
          <t>26/01/2026</t>
        </is>
      </c>
      <c r="H13" s="9" t="inlineStr">
        <is>
          <t>02/02/2026</t>
        </is>
      </c>
      <c r="I13" s="9" t="inlineStr">
        <is>
          <t>09/02/2026</t>
        </is>
      </c>
      <c r="J13" s="9" t="inlineStr">
        <is>
          <t>16/02/2026</t>
        </is>
      </c>
      <c r="K13" s="9" t="inlineStr">
        <is>
          <t>23/02/2026</t>
        </is>
      </c>
      <c r="L13" s="9" t="inlineStr">
        <is>
          <t>02/03/2026</t>
        </is>
      </c>
      <c r="M13" s="9" t="inlineStr">
        <is>
          <t>09/03/2026</t>
        </is>
      </c>
      <c r="N13" s="9" t="inlineStr">
        <is>
          <t>16/03/2026</t>
        </is>
      </c>
      <c r="O13" s="9" t="inlineStr">
        <is>
          <t>23/03/2026</t>
        </is>
      </c>
      <c r="P13" s="9" t="inlineStr">
        <is>
          <t>30/03/2026</t>
        </is>
      </c>
      <c r="Q13" s="7" t="inlineStr">
        <is>
          <t>Có mặt</t>
        </is>
      </c>
      <c r="R13" s="7" t="inlineStr">
        <is>
          <t>Đi muộn</t>
        </is>
      </c>
      <c r="S13" s="7" t="inlineStr">
        <is>
          <t>Vắng</t>
        </is>
      </c>
      <c r="T13" s="7" t="inlineStr">
        <is>
          <t>Tỷ lệ chuyên cần</t>
        </is>
      </c>
      <c r="U13" s="8" t="n"/>
    </row>
    <row r="14" ht="18" customHeight="1">
      <c r="A14" s="10" t="n">
        <v>1</v>
      </c>
      <c r="B14" s="10" t="inlineStr">
        <is>
          <t>CT070104</t>
        </is>
      </c>
      <c r="C14" s="11" t="inlineStr">
        <is>
          <t>Đoàn Hoàng</t>
        </is>
      </c>
      <c r="D14" s="11" t="inlineStr">
        <is>
          <t>Anh</t>
        </is>
      </c>
      <c r="E14" s="10" t="inlineStr">
        <is>
          <t>x</t>
        </is>
      </c>
      <c r="F14" s="10" t="inlineStr">
        <is>
          <t>x</t>
        </is>
      </c>
      <c r="G14" s="10" t="inlineStr">
        <is>
          <t>x</t>
        </is>
      </c>
      <c r="H14" s="10" t="inlineStr">
        <is>
          <t>x</t>
        </is>
      </c>
      <c r="I14" s="10" t="inlineStr">
        <is>
          <t>x</t>
        </is>
      </c>
      <c r="J14" s="10" t="inlineStr">
        <is>
          <t>x</t>
        </is>
      </c>
      <c r="K14" s="10" t="inlineStr">
        <is>
          <t>x</t>
        </is>
      </c>
      <c r="L14" s="10" t="inlineStr">
        <is>
          <t>x</t>
        </is>
      </c>
      <c r="M14" s="10" t="inlineStr">
        <is>
          <t>x</t>
        </is>
      </c>
      <c r="N14" s="10" t="inlineStr">
        <is>
          <t>x</t>
        </is>
      </c>
      <c r="O14" s="10" t="inlineStr">
        <is>
          <t>x</t>
        </is>
      </c>
      <c r="P14" s="10" t="inlineStr">
        <is>
          <t>x</t>
        </is>
      </c>
      <c r="Q14" s="12">
        <f>COUNTIF(E14:P14,"x")</f>
        <v/>
      </c>
      <c r="R14" s="12">
        <f>COUNTIF(E14:P14,"M")</f>
        <v/>
      </c>
      <c r="S14" s="12">
        <f>COUNTIF(E14:P14,"V")</f>
        <v/>
      </c>
      <c r="T14" s="13">
        <f>IF(COUNTA(E14:P14)=0,"",(Q14+R14)/COUNTA(E14:P14))</f>
        <v/>
      </c>
      <c r="U14" s="11" t="n"/>
    </row>
    <row r="15" ht="18" customHeight="1">
      <c r="A15" s="10" t="n">
        <v>2</v>
      </c>
      <c r="B15" s="10" t="inlineStr">
        <is>
          <t>CT070101</t>
        </is>
      </c>
      <c r="C15" s="11" t="inlineStr">
        <is>
          <t>Lưu Tuấn</t>
        </is>
      </c>
      <c r="D15" s="11" t="inlineStr">
        <is>
          <t>Anh</t>
        </is>
      </c>
      <c r="E15" s="10" t="inlineStr">
        <is>
          <t>x</t>
        </is>
      </c>
      <c r="F15" s="10" t="inlineStr">
        <is>
          <t>M</t>
        </is>
      </c>
      <c r="G15" s="10" t="inlineStr">
        <is>
          <t>x</t>
        </is>
      </c>
      <c r="H15" s="10" t="inlineStr">
        <is>
          <t>x</t>
        </is>
      </c>
      <c r="I15" s="10" t="inlineStr">
        <is>
          <t>x</t>
        </is>
      </c>
      <c r="J15" s="10" t="inlineStr">
        <is>
          <t>V</t>
        </is>
      </c>
      <c r="K15" s="10" t="inlineStr">
        <is>
          <t>x</t>
        </is>
      </c>
      <c r="L15" s="10" t="inlineStr">
        <is>
          <t>x</t>
        </is>
      </c>
      <c r="M15" s="10" t="inlineStr">
        <is>
          <t>V</t>
        </is>
      </c>
      <c r="N15" s="10" t="inlineStr">
        <is>
          <t>x</t>
        </is>
      </c>
      <c r="O15" s="10" t="inlineStr">
        <is>
          <t>M</t>
        </is>
      </c>
      <c r="P15" s="10" t="inlineStr">
        <is>
          <t>x</t>
        </is>
      </c>
      <c r="Q15" s="12">
        <f>COUNTIF(E15:P15,"x")</f>
        <v/>
      </c>
      <c r="R15" s="12">
        <f>COUNTIF(E15:P15,"M")</f>
        <v/>
      </c>
      <c r="S15" s="12">
        <f>COUNTIF(E15:P15,"V")</f>
        <v/>
      </c>
      <c r="T15" s="13">
        <f>IF(COUNTA(E15:P15)=0,"",(Q15+R15)/COUNTA(E15:P15))</f>
        <v/>
      </c>
      <c r="U15" s="11" t="n"/>
    </row>
    <row r="16" ht="18" customHeight="1">
      <c r="A16" s="10" t="n">
        <v>3</v>
      </c>
      <c r="B16" s="10" t="inlineStr">
        <is>
          <t>CT070115</t>
        </is>
      </c>
      <c r="C16" s="11" t="inlineStr">
        <is>
          <t>Trần Hoàng</t>
        </is>
      </c>
      <c r="D16" s="11" t="inlineStr">
        <is>
          <t>Dũng</t>
        </is>
      </c>
      <c r="E16" s="10" t="inlineStr">
        <is>
          <t>x</t>
        </is>
      </c>
      <c r="F16" s="10" t="inlineStr">
        <is>
          <t>x</t>
        </is>
      </c>
      <c r="G16" s="10" t="inlineStr">
        <is>
          <t>x</t>
        </is>
      </c>
      <c r="H16" s="10" t="inlineStr">
        <is>
          <t>x</t>
        </is>
      </c>
      <c r="I16" s="10" t="inlineStr">
        <is>
          <t>x</t>
        </is>
      </c>
      <c r="J16" s="10" t="inlineStr">
        <is>
          <t>x</t>
        </is>
      </c>
      <c r="K16" s="10" t="inlineStr">
        <is>
          <t>x</t>
        </is>
      </c>
      <c r="L16" s="10" t="inlineStr">
        <is>
          <t>x</t>
        </is>
      </c>
      <c r="M16" s="10" t="inlineStr">
        <is>
          <t>x</t>
        </is>
      </c>
      <c r="N16" s="10" t="inlineStr">
        <is>
          <t>x</t>
        </is>
      </c>
      <c r="O16" s="10" t="inlineStr">
        <is>
          <t>x</t>
        </is>
      </c>
      <c r="P16" s="10" t="inlineStr">
        <is>
          <t>x</t>
        </is>
      </c>
      <c r="Q16" s="12">
        <f>COUNTIF(E16:P16,"x")</f>
        <v/>
      </c>
      <c r="R16" s="12">
        <f>COUNTIF(E16:P16,"M")</f>
        <v/>
      </c>
      <c r="S16" s="12">
        <f>COUNTIF(E16:P16,"V")</f>
        <v/>
      </c>
      <c r="T16" s="13">
        <f>IF(COUNTA(E16:P16)=0,"",(Q16+R16)/COUNTA(E16:P16))</f>
        <v/>
      </c>
      <c r="U16" s="11" t="n"/>
    </row>
    <row r="17" ht="18" customHeight="1">
      <c r="A17" s="10" t="n">
        <v>4</v>
      </c>
      <c r="B17" s="10" t="inlineStr">
        <is>
          <t>CT070116</t>
        </is>
      </c>
      <c r="C17" s="11" t="inlineStr">
        <is>
          <t>Bùi Quang</t>
        </is>
      </c>
      <c r="D17" s="11" t="inlineStr">
        <is>
          <t>Dương</t>
        </is>
      </c>
      <c r="E17" s="10" t="inlineStr">
        <is>
          <t>x</t>
        </is>
      </c>
      <c r="F17" s="10" t="inlineStr">
        <is>
          <t>x</t>
        </is>
      </c>
      <c r="G17" s="10" t="inlineStr">
        <is>
          <t>x</t>
        </is>
      </c>
      <c r="H17" s="10" t="inlineStr">
        <is>
          <t>x</t>
        </is>
      </c>
      <c r="I17" s="10" t="inlineStr">
        <is>
          <t>x</t>
        </is>
      </c>
      <c r="J17" s="10" t="inlineStr">
        <is>
          <t>x</t>
        </is>
      </c>
      <c r="K17" s="10" t="inlineStr">
        <is>
          <t>x</t>
        </is>
      </c>
      <c r="L17" s="10" t="inlineStr">
        <is>
          <t>x</t>
        </is>
      </c>
      <c r="M17" s="10" t="inlineStr">
        <is>
          <t>x</t>
        </is>
      </c>
      <c r="N17" s="10" t="inlineStr">
        <is>
          <t>x</t>
        </is>
      </c>
      <c r="O17" s="10" t="inlineStr">
        <is>
          <t>x</t>
        </is>
      </c>
      <c r="P17" s="10" t="inlineStr">
        <is>
          <t>M</t>
        </is>
      </c>
      <c r="Q17" s="12">
        <f>COUNTIF(E17:P17,"x")</f>
        <v/>
      </c>
      <c r="R17" s="12">
        <f>COUNTIF(E17:P17,"M")</f>
        <v/>
      </c>
      <c r="S17" s="12">
        <f>COUNTIF(E17:P17,"V")</f>
        <v/>
      </c>
      <c r="T17" s="13">
        <f>IF(COUNTA(E17:P17)=0,"",(Q17+R17)/COUNTA(E17:P17))</f>
        <v/>
      </c>
      <c r="U17" s="11" t="n"/>
    </row>
    <row r="18" ht="18" customHeight="1">
      <c r="A18" s="10" t="n">
        <v>5</v>
      </c>
      <c r="B18" s="10" t="inlineStr">
        <is>
          <t>CT070124</t>
        </is>
      </c>
      <c r="C18" s="11" t="inlineStr">
        <is>
          <t>Phan Văn</t>
        </is>
      </c>
      <c r="D18" s="11" t="inlineStr">
        <is>
          <t>Hiệp</t>
        </is>
      </c>
      <c r="E18" s="10" t="inlineStr">
        <is>
          <t>x</t>
        </is>
      </c>
      <c r="F18" s="10" t="inlineStr">
        <is>
          <t>x</t>
        </is>
      </c>
      <c r="G18" s="10" t="inlineStr">
        <is>
          <t>V</t>
        </is>
      </c>
      <c r="H18" s="10" t="inlineStr">
        <is>
          <t>x</t>
        </is>
      </c>
      <c r="I18" s="10" t="inlineStr">
        <is>
          <t>x</t>
        </is>
      </c>
      <c r="J18" s="10" t="inlineStr">
        <is>
          <t>x</t>
        </is>
      </c>
      <c r="K18" s="10" t="inlineStr">
        <is>
          <t>x</t>
        </is>
      </c>
      <c r="L18" s="10" t="inlineStr">
        <is>
          <t>x</t>
        </is>
      </c>
      <c r="M18" s="10" t="inlineStr">
        <is>
          <t>x</t>
        </is>
      </c>
      <c r="N18" s="10" t="inlineStr">
        <is>
          <t>x</t>
        </is>
      </c>
      <c r="O18" s="10" t="inlineStr">
        <is>
          <t>x</t>
        </is>
      </c>
      <c r="P18" s="10" t="inlineStr">
        <is>
          <t>x</t>
        </is>
      </c>
      <c r="Q18" s="12">
        <f>COUNTIF(E18:P18,"x")</f>
        <v/>
      </c>
      <c r="R18" s="12">
        <f>COUNTIF(E18:P18,"M")</f>
        <v/>
      </c>
      <c r="S18" s="12">
        <f>COUNTIF(E18:P18,"V")</f>
        <v/>
      </c>
      <c r="T18" s="13">
        <f>IF(COUNTA(E18:P18)=0,"",(Q18+R18)/COUNTA(E18:P18))</f>
        <v/>
      </c>
      <c r="U18" s="11" t="n"/>
    </row>
    <row r="19" ht="18" customHeight="1">
      <c r="A19" s="10" t="n">
        <v>6</v>
      </c>
      <c r="B19" s="10" t="inlineStr">
        <is>
          <t>CT070127</t>
        </is>
      </c>
      <c r="C19" s="11" t="inlineStr">
        <is>
          <t>Nguyễn Huy</t>
        </is>
      </c>
      <c r="D19" s="11" t="inlineStr">
        <is>
          <t>Hoàng</t>
        </is>
      </c>
      <c r="E19" s="10" t="inlineStr">
        <is>
          <t>M</t>
        </is>
      </c>
      <c r="F19" s="10" t="inlineStr">
        <is>
          <t>x</t>
        </is>
      </c>
      <c r="G19" s="10" t="inlineStr">
        <is>
          <t>x</t>
        </is>
      </c>
      <c r="H19" s="10" t="inlineStr">
        <is>
          <t>x</t>
        </is>
      </c>
      <c r="I19" s="10" t="inlineStr">
        <is>
          <t>x</t>
        </is>
      </c>
      <c r="J19" s="10" t="inlineStr">
        <is>
          <t>x</t>
        </is>
      </c>
      <c r="K19" s="10" t="inlineStr">
        <is>
          <t>M</t>
        </is>
      </c>
      <c r="L19" s="10" t="inlineStr">
        <is>
          <t>V</t>
        </is>
      </c>
      <c r="M19" s="10" t="inlineStr">
        <is>
          <t>x</t>
        </is>
      </c>
      <c r="N19" s="10" t="inlineStr">
        <is>
          <t>x</t>
        </is>
      </c>
      <c r="O19" s="10" t="inlineStr">
        <is>
          <t>x</t>
        </is>
      </c>
      <c r="P19" s="10" t="inlineStr">
        <is>
          <t>x</t>
        </is>
      </c>
      <c r="Q19" s="12">
        <f>COUNTIF(E19:P19,"x")</f>
        <v/>
      </c>
      <c r="R19" s="12">
        <f>COUNTIF(E19:P19,"M")</f>
        <v/>
      </c>
      <c r="S19" s="12">
        <f>COUNTIF(E19:P19,"V")</f>
        <v/>
      </c>
      <c r="T19" s="13">
        <f>IF(COUNTA(E19:P19)=0,"",(Q19+R19)/COUNTA(E19:P19))</f>
        <v/>
      </c>
      <c r="U19" s="11" t="n"/>
    </row>
    <row r="20" ht="18" customHeight="1">
      <c r="A20" s="10" t="n">
        <v>7</v>
      </c>
      <c r="B20" s="10" t="inlineStr">
        <is>
          <t>CT070128</t>
        </is>
      </c>
      <c r="C20" s="11" t="inlineStr">
        <is>
          <t>Nguyễn Sỹ Huy</t>
        </is>
      </c>
      <c r="D20" s="11" t="inlineStr">
        <is>
          <t>Hoàng</t>
        </is>
      </c>
      <c r="E20" s="10" t="inlineStr">
        <is>
          <t>x</t>
        </is>
      </c>
      <c r="F20" s="10" t="inlineStr">
        <is>
          <t>V</t>
        </is>
      </c>
      <c r="G20" s="10" t="inlineStr">
        <is>
          <t>M</t>
        </is>
      </c>
      <c r="H20" s="10" t="inlineStr">
        <is>
          <t>x</t>
        </is>
      </c>
      <c r="I20" s="10" t="inlineStr">
        <is>
          <t>x</t>
        </is>
      </c>
      <c r="J20" s="10" t="inlineStr">
        <is>
          <t>x</t>
        </is>
      </c>
      <c r="K20" s="10" t="inlineStr">
        <is>
          <t>x</t>
        </is>
      </c>
      <c r="L20" s="10" t="inlineStr">
        <is>
          <t>x</t>
        </is>
      </c>
      <c r="M20" s="10" t="inlineStr">
        <is>
          <t>x</t>
        </is>
      </c>
      <c r="N20" s="10" t="inlineStr">
        <is>
          <t>x</t>
        </is>
      </c>
      <c r="O20" s="10" t="inlineStr">
        <is>
          <t>x</t>
        </is>
      </c>
      <c r="P20" s="10" t="inlineStr">
        <is>
          <t>x</t>
        </is>
      </c>
      <c r="Q20" s="12">
        <f>COUNTIF(E20:P20,"x")</f>
        <v/>
      </c>
      <c r="R20" s="12">
        <f>COUNTIF(E20:P20,"M")</f>
        <v/>
      </c>
      <c r="S20" s="12">
        <f>COUNTIF(E20:P20,"V")</f>
        <v/>
      </c>
      <c r="T20" s="13">
        <f>IF(COUNTA(E20:P20)=0,"",(Q20+R20)/COUNTA(E20:P20))</f>
        <v/>
      </c>
      <c r="U20" s="11" t="n"/>
    </row>
    <row r="21" ht="18" customHeight="1">
      <c r="A21" s="10" t="n">
        <v>8</v>
      </c>
      <c r="B21" s="10" t="inlineStr">
        <is>
          <t>CT070129</t>
        </is>
      </c>
      <c r="C21" s="11" t="inlineStr">
        <is>
          <t>Đặng Xuân</t>
        </is>
      </c>
      <c r="D21" s="11" t="inlineStr">
        <is>
          <t>Hùng</t>
        </is>
      </c>
      <c r="E21" s="10" t="inlineStr">
        <is>
          <t>x</t>
        </is>
      </c>
      <c r="F21" s="10" t="inlineStr">
        <is>
          <t>x</t>
        </is>
      </c>
      <c r="G21" s="10" t="inlineStr">
        <is>
          <t>x</t>
        </is>
      </c>
      <c r="H21" s="10" t="inlineStr">
        <is>
          <t>M</t>
        </is>
      </c>
      <c r="I21" s="10" t="inlineStr">
        <is>
          <t>x</t>
        </is>
      </c>
      <c r="J21" s="10" t="inlineStr">
        <is>
          <t>x</t>
        </is>
      </c>
      <c r="K21" s="10" t="inlineStr">
        <is>
          <t>x</t>
        </is>
      </c>
      <c r="L21" s="10" t="inlineStr">
        <is>
          <t>M</t>
        </is>
      </c>
      <c r="M21" s="10" t="inlineStr">
        <is>
          <t>x</t>
        </is>
      </c>
      <c r="N21" s="10" t="inlineStr">
        <is>
          <t>M</t>
        </is>
      </c>
      <c r="O21" s="10" t="inlineStr">
        <is>
          <t>x</t>
        </is>
      </c>
      <c r="P21" s="10" t="inlineStr">
        <is>
          <t>x</t>
        </is>
      </c>
      <c r="Q21" s="12">
        <f>COUNTIF(E21:P21,"x")</f>
        <v/>
      </c>
      <c r="R21" s="12">
        <f>COUNTIF(E21:P21,"M")</f>
        <v/>
      </c>
      <c r="S21" s="12">
        <f>COUNTIF(E21:P21,"V")</f>
        <v/>
      </c>
      <c r="T21" s="13">
        <f>IF(COUNTA(E21:P21)=0,"",(Q21+R21)/COUNTA(E21:P21))</f>
        <v/>
      </c>
      <c r="U21" s="11" t="n"/>
    </row>
    <row r="22" ht="18" customHeight="1">
      <c r="A22" s="10" t="n">
        <v>9</v>
      </c>
      <c r="B22" s="10" t="inlineStr">
        <is>
          <t>CT070132</t>
        </is>
      </c>
      <c r="C22" s="11" t="inlineStr">
        <is>
          <t>Đỗ Ngọc</t>
        </is>
      </c>
      <c r="D22" s="11" t="inlineStr">
        <is>
          <t>Huy</t>
        </is>
      </c>
      <c r="E22" s="10" t="inlineStr">
        <is>
          <t>x</t>
        </is>
      </c>
      <c r="F22" s="10" t="inlineStr">
        <is>
          <t>M</t>
        </is>
      </c>
      <c r="G22" s="10" t="inlineStr">
        <is>
          <t>V</t>
        </is>
      </c>
      <c r="H22" s="10" t="inlineStr">
        <is>
          <t>x</t>
        </is>
      </c>
      <c r="I22" s="10" t="inlineStr">
        <is>
          <t>x</t>
        </is>
      </c>
      <c r="J22" s="10" t="inlineStr">
        <is>
          <t>x</t>
        </is>
      </c>
      <c r="K22" s="10" t="inlineStr">
        <is>
          <t>x</t>
        </is>
      </c>
      <c r="L22" s="10" t="inlineStr">
        <is>
          <t>x</t>
        </is>
      </c>
      <c r="M22" s="10" t="inlineStr">
        <is>
          <t>x</t>
        </is>
      </c>
      <c r="N22" s="10" t="inlineStr">
        <is>
          <t>x</t>
        </is>
      </c>
      <c r="O22" s="10" t="inlineStr">
        <is>
          <t>x</t>
        </is>
      </c>
      <c r="P22" s="10" t="inlineStr">
        <is>
          <t>x</t>
        </is>
      </c>
      <c r="Q22" s="12">
        <f>COUNTIF(E22:P22,"x")</f>
        <v/>
      </c>
      <c r="R22" s="12">
        <f>COUNTIF(E22:P22,"M")</f>
        <v/>
      </c>
      <c r="S22" s="12">
        <f>COUNTIF(E22:P22,"V")</f>
        <v/>
      </c>
      <c r="T22" s="13">
        <f>IF(COUNTA(E22:P22)=0,"",(Q22+R22)/COUNTA(E22:P22))</f>
        <v/>
      </c>
      <c r="U22" s="11" t="n"/>
    </row>
    <row r="23" ht="18" customHeight="1">
      <c r="A23" s="10" t="n">
        <v>10</v>
      </c>
      <c r="B23" s="10" t="inlineStr">
        <is>
          <t>CT070131</t>
        </is>
      </c>
      <c r="C23" s="11" t="inlineStr">
        <is>
          <t>Vũ Quốc</t>
        </is>
      </c>
      <c r="D23" s="11" t="inlineStr">
        <is>
          <t>Huy</t>
        </is>
      </c>
      <c r="E23" s="10" t="inlineStr">
        <is>
          <t>x</t>
        </is>
      </c>
      <c r="F23" s="10" t="inlineStr">
        <is>
          <t>x</t>
        </is>
      </c>
      <c r="G23" s="10" t="inlineStr">
        <is>
          <t>V</t>
        </is>
      </c>
      <c r="H23" s="10" t="inlineStr">
        <is>
          <t>x</t>
        </is>
      </c>
      <c r="I23" s="10" t="inlineStr">
        <is>
          <t>x</t>
        </is>
      </c>
      <c r="J23" s="10" t="inlineStr">
        <is>
          <t>x</t>
        </is>
      </c>
      <c r="K23" s="10" t="inlineStr">
        <is>
          <t>x</t>
        </is>
      </c>
      <c r="L23" s="10" t="inlineStr">
        <is>
          <t>x</t>
        </is>
      </c>
      <c r="M23" s="10" t="inlineStr">
        <is>
          <t>M</t>
        </is>
      </c>
      <c r="N23" s="10" t="inlineStr">
        <is>
          <t>x</t>
        </is>
      </c>
      <c r="O23" s="10" t="inlineStr">
        <is>
          <t>M</t>
        </is>
      </c>
      <c r="P23" s="10" t="inlineStr">
        <is>
          <t>x</t>
        </is>
      </c>
      <c r="Q23" s="12">
        <f>COUNTIF(E23:P23,"x")</f>
        <v/>
      </c>
      <c r="R23" s="12">
        <f>COUNTIF(E23:P23,"M")</f>
        <v/>
      </c>
      <c r="S23" s="12">
        <f>COUNTIF(E23:P23,"V")</f>
        <v/>
      </c>
      <c r="T23" s="13">
        <f>IF(COUNTA(E23:P23)=0,"",(Q23+R23)/COUNTA(E23:P23))</f>
        <v/>
      </c>
      <c r="U23" s="11" t="n"/>
    </row>
    <row r="24" ht="18" customHeight="1">
      <c r="A24" s="10" t="n">
        <v>11</v>
      </c>
      <c r="B24" s="10" t="inlineStr">
        <is>
          <t>CT070130</t>
        </is>
      </c>
      <c r="C24" s="11" t="inlineStr">
        <is>
          <t>Nguyễn Quốc</t>
        </is>
      </c>
      <c r="D24" s="11" t="inlineStr">
        <is>
          <t>Hưng</t>
        </is>
      </c>
      <c r="E24" s="10" t="inlineStr">
        <is>
          <t>x</t>
        </is>
      </c>
      <c r="F24" s="10" t="inlineStr">
        <is>
          <t>x</t>
        </is>
      </c>
      <c r="G24" s="10" t="inlineStr">
        <is>
          <t>x</t>
        </is>
      </c>
      <c r="H24" s="10" t="inlineStr">
        <is>
          <t>x</t>
        </is>
      </c>
      <c r="I24" s="10" t="inlineStr">
        <is>
          <t>x</t>
        </is>
      </c>
      <c r="J24" s="10" t="inlineStr">
        <is>
          <t>x</t>
        </is>
      </c>
      <c r="K24" s="10" t="inlineStr">
        <is>
          <t>x</t>
        </is>
      </c>
      <c r="L24" s="10" t="inlineStr">
        <is>
          <t>x</t>
        </is>
      </c>
      <c r="M24" s="10" t="inlineStr">
        <is>
          <t>x</t>
        </is>
      </c>
      <c r="N24" s="10" t="inlineStr">
        <is>
          <t>x</t>
        </is>
      </c>
      <c r="O24" s="10" t="inlineStr">
        <is>
          <t>x</t>
        </is>
      </c>
      <c r="P24" s="10" t="inlineStr">
        <is>
          <t>x</t>
        </is>
      </c>
      <c r="Q24" s="12">
        <f>COUNTIF(E24:P24,"x")</f>
        <v/>
      </c>
      <c r="R24" s="12">
        <f>COUNTIF(E24:P24,"M")</f>
        <v/>
      </c>
      <c r="S24" s="12">
        <f>COUNTIF(E24:P24,"V")</f>
        <v/>
      </c>
      <c r="T24" s="13">
        <f>IF(COUNTA(E24:P24)=0,"",(Q24+R24)/COUNTA(E24:P24))</f>
        <v/>
      </c>
      <c r="U24" s="11" t="n"/>
    </row>
    <row r="25" ht="18" customHeight="1">
      <c r="A25" s="10" t="n">
        <v>12</v>
      </c>
      <c r="B25" s="10" t="inlineStr">
        <is>
          <t>CT070133</t>
        </is>
      </c>
      <c r="C25" s="11" t="inlineStr">
        <is>
          <t>Quách Văn</t>
        </is>
      </c>
      <c r="D25" s="11" t="inlineStr">
        <is>
          <t>Khải</t>
        </is>
      </c>
      <c r="E25" s="10" t="inlineStr">
        <is>
          <t>x</t>
        </is>
      </c>
      <c r="F25" s="10" t="inlineStr">
        <is>
          <t>x</t>
        </is>
      </c>
      <c r="G25" s="10" t="inlineStr">
        <is>
          <t>x</t>
        </is>
      </c>
      <c r="H25" s="10" t="inlineStr">
        <is>
          <t>M</t>
        </is>
      </c>
      <c r="I25" s="10" t="inlineStr">
        <is>
          <t>x</t>
        </is>
      </c>
      <c r="J25" s="10" t="inlineStr">
        <is>
          <t>x</t>
        </is>
      </c>
      <c r="K25" s="10" t="inlineStr">
        <is>
          <t>x</t>
        </is>
      </c>
      <c r="L25" s="10" t="inlineStr">
        <is>
          <t>x</t>
        </is>
      </c>
      <c r="M25" s="10" t="inlineStr">
        <is>
          <t>x</t>
        </is>
      </c>
      <c r="N25" s="10" t="inlineStr">
        <is>
          <t>x</t>
        </is>
      </c>
      <c r="O25" s="10" t="inlineStr">
        <is>
          <t>M</t>
        </is>
      </c>
      <c r="P25" s="10" t="inlineStr">
        <is>
          <t>V</t>
        </is>
      </c>
      <c r="Q25" s="12">
        <f>COUNTIF(E25:P25,"x")</f>
        <v/>
      </c>
      <c r="R25" s="12">
        <f>COUNTIF(E25:P25,"M")</f>
        <v/>
      </c>
      <c r="S25" s="12">
        <f>COUNTIF(E25:P25,"V")</f>
        <v/>
      </c>
      <c r="T25" s="13">
        <f>IF(COUNTA(E25:P25)=0,"",(Q25+R25)/COUNTA(E25:P25))</f>
        <v/>
      </c>
      <c r="U25" s="11" t="n"/>
    </row>
    <row r="26" ht="18" customHeight="1">
      <c r="A26" s="10" t="n">
        <v>13</v>
      </c>
      <c r="B26" s="10" t="inlineStr">
        <is>
          <t>CT070134</t>
        </is>
      </c>
      <c r="C26" s="11" t="inlineStr">
        <is>
          <t>Lê Đồng Ngọc</t>
        </is>
      </c>
      <c r="D26" s="11" t="inlineStr">
        <is>
          <t>Khánh</t>
        </is>
      </c>
      <c r="E26" s="10" t="inlineStr">
        <is>
          <t>x</t>
        </is>
      </c>
      <c r="F26" s="10" t="inlineStr">
        <is>
          <t>x</t>
        </is>
      </c>
      <c r="G26" s="10" t="inlineStr">
        <is>
          <t>x</t>
        </is>
      </c>
      <c r="H26" s="10" t="inlineStr">
        <is>
          <t>x</t>
        </is>
      </c>
      <c r="I26" s="10" t="inlineStr">
        <is>
          <t>x</t>
        </is>
      </c>
      <c r="J26" s="10" t="inlineStr">
        <is>
          <t>x</t>
        </is>
      </c>
      <c r="K26" s="10" t="inlineStr">
        <is>
          <t>M</t>
        </is>
      </c>
      <c r="L26" s="10" t="inlineStr">
        <is>
          <t>x</t>
        </is>
      </c>
      <c r="M26" s="10" t="inlineStr">
        <is>
          <t>x</t>
        </is>
      </c>
      <c r="N26" s="10" t="inlineStr">
        <is>
          <t>V</t>
        </is>
      </c>
      <c r="O26" s="10" t="inlineStr">
        <is>
          <t>x</t>
        </is>
      </c>
      <c r="P26" s="10" t="inlineStr">
        <is>
          <t>x</t>
        </is>
      </c>
      <c r="Q26" s="12">
        <f>COUNTIF(E26:P26,"x")</f>
        <v/>
      </c>
      <c r="R26" s="12">
        <f>COUNTIF(E26:P26,"M")</f>
        <v/>
      </c>
      <c r="S26" s="12">
        <f>COUNTIF(E26:P26,"V")</f>
        <v/>
      </c>
      <c r="T26" s="13">
        <f>IF(COUNTA(E26:P26)=0,"",(Q26+R26)/COUNTA(E26:P26))</f>
        <v/>
      </c>
      <c r="U26" s="11" t="n"/>
    </row>
    <row r="27" ht="18" customHeight="1">
      <c r="A27" s="10" t="n">
        <v>14</v>
      </c>
      <c r="B27" s="10" t="inlineStr">
        <is>
          <t>CT070146</t>
        </is>
      </c>
      <c r="C27" s="11" t="inlineStr">
        <is>
          <t>Lê Anh</t>
        </is>
      </c>
      <c r="D27" s="11" t="inlineStr">
        <is>
          <t>Quân</t>
        </is>
      </c>
      <c r="E27" s="10" t="inlineStr">
        <is>
          <t>x</t>
        </is>
      </c>
      <c r="F27" s="10" t="inlineStr">
        <is>
          <t>x</t>
        </is>
      </c>
      <c r="G27" s="10" t="inlineStr">
        <is>
          <t>x</t>
        </is>
      </c>
      <c r="H27" s="10" t="inlineStr">
        <is>
          <t>V</t>
        </is>
      </c>
      <c r="I27" s="10" t="inlineStr">
        <is>
          <t>M</t>
        </is>
      </c>
      <c r="J27" s="10" t="inlineStr">
        <is>
          <t>x</t>
        </is>
      </c>
      <c r="K27" s="10" t="inlineStr">
        <is>
          <t>x</t>
        </is>
      </c>
      <c r="L27" s="10" t="inlineStr">
        <is>
          <t>x</t>
        </is>
      </c>
      <c r="M27" s="10" t="inlineStr">
        <is>
          <t>x</t>
        </is>
      </c>
      <c r="N27" s="10" t="inlineStr">
        <is>
          <t>x</t>
        </is>
      </c>
      <c r="O27" s="10" t="inlineStr">
        <is>
          <t>x</t>
        </is>
      </c>
      <c r="P27" s="10" t="inlineStr">
        <is>
          <t>x</t>
        </is>
      </c>
      <c r="Q27" s="12">
        <f>COUNTIF(E27:P27,"x")</f>
        <v/>
      </c>
      <c r="R27" s="12">
        <f>COUNTIF(E27:P27,"M")</f>
        <v/>
      </c>
      <c r="S27" s="12">
        <f>COUNTIF(E27:P27,"V")</f>
        <v/>
      </c>
      <c r="T27" s="13">
        <f>IF(COUNTA(E27:P27)=0,"",(Q27+R27)/COUNTA(E27:P27))</f>
        <v/>
      </c>
      <c r="U27" s="11" t="n"/>
    </row>
    <row r="28" ht="18" customHeight="1">
      <c r="A28" s="10" t="n">
        <v>15</v>
      </c>
      <c r="B28" s="10" t="inlineStr">
        <is>
          <t>CT070149</t>
        </is>
      </c>
      <c r="C28" s="11" t="inlineStr">
        <is>
          <t>Nguyễn Thiện</t>
        </is>
      </c>
      <c r="D28" s="11" t="inlineStr">
        <is>
          <t>Quyền</t>
        </is>
      </c>
      <c r="E28" s="10" t="inlineStr">
        <is>
          <t>x</t>
        </is>
      </c>
      <c r="F28" s="10" t="inlineStr">
        <is>
          <t>x</t>
        </is>
      </c>
      <c r="G28" s="10" t="inlineStr">
        <is>
          <t>x</t>
        </is>
      </c>
      <c r="H28" s="10" t="inlineStr">
        <is>
          <t>V</t>
        </is>
      </c>
      <c r="I28" s="10" t="inlineStr">
        <is>
          <t>M</t>
        </is>
      </c>
      <c r="J28" s="10" t="inlineStr">
        <is>
          <t>x</t>
        </is>
      </c>
      <c r="K28" s="10" t="inlineStr">
        <is>
          <t>x</t>
        </is>
      </c>
      <c r="L28" s="10" t="inlineStr">
        <is>
          <t>x</t>
        </is>
      </c>
      <c r="M28" s="10" t="inlineStr">
        <is>
          <t>x</t>
        </is>
      </c>
      <c r="N28" s="10" t="inlineStr">
        <is>
          <t>x</t>
        </is>
      </c>
      <c r="O28" s="10" t="inlineStr">
        <is>
          <t>x</t>
        </is>
      </c>
      <c r="P28" s="10" t="inlineStr">
        <is>
          <t>x</t>
        </is>
      </c>
      <c r="Q28" s="12">
        <f>COUNTIF(E28:P28,"x")</f>
        <v/>
      </c>
      <c r="R28" s="12">
        <f>COUNTIF(E28:P28,"M")</f>
        <v/>
      </c>
      <c r="S28" s="12">
        <f>COUNTIF(E28:P28,"V")</f>
        <v/>
      </c>
      <c r="T28" s="13">
        <f>IF(COUNTA(E28:P28)=0,"",(Q28+R28)/COUNTA(E28:P28))</f>
        <v/>
      </c>
      <c r="U28" s="11" t="n"/>
    </row>
    <row r="29" ht="18" customHeight="1">
      <c r="A29" s="10" t="n">
        <v>16</v>
      </c>
      <c r="B29" s="10" t="inlineStr">
        <is>
          <t>CT070150</t>
        </is>
      </c>
      <c r="C29" s="11" t="inlineStr">
        <is>
          <t>Hoàng Văn</t>
        </is>
      </c>
      <c r="D29" s="11" t="inlineStr">
        <is>
          <t>Sang</t>
        </is>
      </c>
      <c r="E29" s="10" t="inlineStr">
        <is>
          <t>x</t>
        </is>
      </c>
      <c r="F29" s="10" t="inlineStr">
        <is>
          <t>x</t>
        </is>
      </c>
      <c r="G29" s="10" t="inlineStr">
        <is>
          <t>x</t>
        </is>
      </c>
      <c r="H29" s="10" t="inlineStr">
        <is>
          <t>x</t>
        </is>
      </c>
      <c r="I29" s="10" t="inlineStr">
        <is>
          <t>V</t>
        </is>
      </c>
      <c r="J29" s="10" t="inlineStr">
        <is>
          <t>x</t>
        </is>
      </c>
      <c r="K29" s="10" t="inlineStr">
        <is>
          <t>V</t>
        </is>
      </c>
      <c r="L29" s="10" t="inlineStr">
        <is>
          <t>V</t>
        </is>
      </c>
      <c r="M29" s="10" t="inlineStr">
        <is>
          <t>V</t>
        </is>
      </c>
      <c r="N29" s="10" t="inlineStr">
        <is>
          <t>x</t>
        </is>
      </c>
      <c r="O29" s="10" t="inlineStr">
        <is>
          <t>x</t>
        </is>
      </c>
      <c r="P29" s="10" t="inlineStr">
        <is>
          <t>x</t>
        </is>
      </c>
      <c r="Q29" s="12">
        <f>COUNTIF(E29:P29,"x")</f>
        <v/>
      </c>
      <c r="R29" s="12">
        <f>COUNTIF(E29:P29,"M")</f>
        <v/>
      </c>
      <c r="S29" s="12">
        <f>COUNTIF(E29:P29,"V")</f>
        <v/>
      </c>
      <c r="T29" s="13">
        <f>IF(COUNTA(E29:P29)=0,"",(Q29+R29)/COUNTA(E29:P29))</f>
        <v/>
      </c>
      <c r="U29" s="11" t="n"/>
    </row>
    <row r="30" ht="18" customHeight="1">
      <c r="A30" s="10" t="n">
        <v>17</v>
      </c>
      <c r="B30" s="10" t="inlineStr">
        <is>
          <t>CT070156</t>
        </is>
      </c>
      <c r="C30" s="11" t="inlineStr">
        <is>
          <t>Nguyễn Tiến</t>
        </is>
      </c>
      <c r="D30" s="11" t="inlineStr">
        <is>
          <t>Thuận</t>
        </is>
      </c>
      <c r="E30" s="10" t="inlineStr">
        <is>
          <t>x</t>
        </is>
      </c>
      <c r="F30" s="10" t="inlineStr">
        <is>
          <t>x</t>
        </is>
      </c>
      <c r="G30" s="10" t="inlineStr">
        <is>
          <t>x</t>
        </is>
      </c>
      <c r="H30" s="10" t="inlineStr">
        <is>
          <t>V</t>
        </is>
      </c>
      <c r="I30" s="10" t="inlineStr">
        <is>
          <t>M</t>
        </is>
      </c>
      <c r="J30" s="10" t="inlineStr">
        <is>
          <t>x</t>
        </is>
      </c>
      <c r="K30" s="10" t="inlineStr">
        <is>
          <t>x</t>
        </is>
      </c>
      <c r="L30" s="10" t="inlineStr">
        <is>
          <t>x</t>
        </is>
      </c>
      <c r="M30" s="10" t="inlineStr">
        <is>
          <t>x</t>
        </is>
      </c>
      <c r="N30" s="10" t="inlineStr">
        <is>
          <t>x</t>
        </is>
      </c>
      <c r="O30" s="10" t="inlineStr">
        <is>
          <t>V</t>
        </is>
      </c>
      <c r="P30" s="10" t="inlineStr">
        <is>
          <t>x</t>
        </is>
      </c>
      <c r="Q30" s="12">
        <f>COUNTIF(E30:P30,"x")</f>
        <v/>
      </c>
      <c r="R30" s="12">
        <f>COUNTIF(E30:P30,"M")</f>
        <v/>
      </c>
      <c r="S30" s="12">
        <f>COUNTIF(E30:P30,"V")</f>
        <v/>
      </c>
      <c r="T30" s="13">
        <f>IF(COUNTA(E30:P30)=0,"",(Q30+R30)/COUNTA(E30:P30))</f>
        <v/>
      </c>
      <c r="U30" s="11" t="n"/>
    </row>
    <row r="31" ht="18" customHeight="1">
      <c r="A31" s="10" t="n">
        <v>18</v>
      </c>
      <c r="B31" s="10" t="inlineStr">
        <is>
          <t>CT070161</t>
        </is>
      </c>
      <c r="C31" s="11" t="inlineStr">
        <is>
          <t>Phạm Văn</t>
        </is>
      </c>
      <c r="D31" s="11" t="inlineStr">
        <is>
          <t>Tùng</t>
        </is>
      </c>
      <c r="E31" s="10" t="inlineStr">
        <is>
          <t>x</t>
        </is>
      </c>
      <c r="F31" s="10" t="inlineStr">
        <is>
          <t>x</t>
        </is>
      </c>
      <c r="G31" s="10" t="inlineStr">
        <is>
          <t>x</t>
        </is>
      </c>
      <c r="H31" s="10" t="inlineStr">
        <is>
          <t>x</t>
        </is>
      </c>
      <c r="I31" s="10" t="inlineStr">
        <is>
          <t>x</t>
        </is>
      </c>
      <c r="J31" s="10" t="inlineStr">
        <is>
          <t>x</t>
        </is>
      </c>
      <c r="K31" s="10" t="inlineStr">
        <is>
          <t>V</t>
        </is>
      </c>
      <c r="L31" s="10" t="inlineStr">
        <is>
          <t>x</t>
        </is>
      </c>
      <c r="M31" s="10" t="inlineStr">
        <is>
          <t>x</t>
        </is>
      </c>
      <c r="N31" s="10" t="inlineStr">
        <is>
          <t>V</t>
        </is>
      </c>
      <c r="O31" s="10" t="inlineStr">
        <is>
          <t>x</t>
        </is>
      </c>
      <c r="P31" s="10" t="inlineStr">
        <is>
          <t>x</t>
        </is>
      </c>
      <c r="Q31" s="12">
        <f>COUNTIF(E31:P31,"x")</f>
        <v/>
      </c>
      <c r="R31" s="12">
        <f>COUNTIF(E31:P31,"M")</f>
        <v/>
      </c>
      <c r="S31" s="12">
        <f>COUNTIF(E31:P31,"V")</f>
        <v/>
      </c>
      <c r="T31" s="13">
        <f>IF(COUNTA(E31:P31)=0,"",(Q31+R31)/COUNTA(E31:P31))</f>
        <v/>
      </c>
      <c r="U31" s="11" t="n"/>
    </row>
    <row r="32" ht="18" customHeight="1">
      <c r="A32" s="10" t="n">
        <v>19</v>
      </c>
      <c r="B32" s="10" t="inlineStr">
        <is>
          <t>CT070162</t>
        </is>
      </c>
      <c r="C32" s="11" t="inlineStr">
        <is>
          <t>Nguyễn Hữu</t>
        </is>
      </c>
      <c r="D32" s="11" t="inlineStr">
        <is>
          <t>Tuyến</t>
        </is>
      </c>
      <c r="E32" s="10" t="inlineStr">
        <is>
          <t>x</t>
        </is>
      </c>
      <c r="F32" s="10" t="inlineStr">
        <is>
          <t>x</t>
        </is>
      </c>
      <c r="G32" s="10" t="inlineStr">
        <is>
          <t>V</t>
        </is>
      </c>
      <c r="H32" s="10" t="inlineStr">
        <is>
          <t>x</t>
        </is>
      </c>
      <c r="I32" s="10" t="inlineStr">
        <is>
          <t>x</t>
        </is>
      </c>
      <c r="J32" s="10" t="inlineStr">
        <is>
          <t>M</t>
        </is>
      </c>
      <c r="K32" s="10" t="inlineStr">
        <is>
          <t>V</t>
        </is>
      </c>
      <c r="L32" s="10" t="inlineStr">
        <is>
          <t>x</t>
        </is>
      </c>
      <c r="M32" s="10" t="inlineStr">
        <is>
          <t>x</t>
        </is>
      </c>
      <c r="N32" s="10" t="inlineStr">
        <is>
          <t>x</t>
        </is>
      </c>
      <c r="O32" s="10" t="inlineStr">
        <is>
          <t>x</t>
        </is>
      </c>
      <c r="P32" s="10" t="inlineStr">
        <is>
          <t>x</t>
        </is>
      </c>
      <c r="Q32" s="12">
        <f>COUNTIF(E32:P32,"x")</f>
        <v/>
      </c>
      <c r="R32" s="12">
        <f>COUNTIF(E32:P32,"M")</f>
        <v/>
      </c>
      <c r="S32" s="12">
        <f>COUNTIF(E32:P32,"V")</f>
        <v/>
      </c>
      <c r="T32" s="13">
        <f>IF(COUNTA(E32:P32)=0,"",(Q32+R32)/COUNTA(E32:P32))</f>
        <v/>
      </c>
      <c r="U32" s="11" t="n"/>
    </row>
    <row r="33" ht="18" customHeight="1">
      <c r="A33" s="10" t="n">
        <v>20</v>
      </c>
      <c r="B33" s="10" t="inlineStr">
        <is>
          <t>CT070165</t>
        </is>
      </c>
      <c r="C33" s="11" t="inlineStr">
        <is>
          <t>Phạm Nguyên</t>
        </is>
      </c>
      <c r="D33" s="11" t="inlineStr">
        <is>
          <t>Vũ</t>
        </is>
      </c>
      <c r="E33" s="10" t="inlineStr">
        <is>
          <t>V</t>
        </is>
      </c>
      <c r="F33" s="10" t="inlineStr">
        <is>
          <t>x</t>
        </is>
      </c>
      <c r="G33" s="10" t="inlineStr">
        <is>
          <t>x</t>
        </is>
      </c>
      <c r="H33" s="10" t="inlineStr">
        <is>
          <t>V</t>
        </is>
      </c>
      <c r="I33" s="10" t="inlineStr">
        <is>
          <t>x</t>
        </is>
      </c>
      <c r="J33" s="10" t="inlineStr">
        <is>
          <t>M</t>
        </is>
      </c>
      <c r="K33" s="10" t="inlineStr">
        <is>
          <t>M</t>
        </is>
      </c>
      <c r="L33" s="10" t="inlineStr">
        <is>
          <t>x</t>
        </is>
      </c>
      <c r="M33" s="10" t="inlineStr">
        <is>
          <t>x</t>
        </is>
      </c>
      <c r="N33" s="10" t="inlineStr">
        <is>
          <t>x</t>
        </is>
      </c>
      <c r="O33" s="10" t="inlineStr">
        <is>
          <t>x</t>
        </is>
      </c>
      <c r="P33" s="10" t="inlineStr">
        <is>
          <t>x</t>
        </is>
      </c>
      <c r="Q33" s="12">
        <f>COUNTIF(E33:P33,"x")</f>
        <v/>
      </c>
      <c r="R33" s="12">
        <f>COUNTIF(E33:P33,"M")</f>
        <v/>
      </c>
      <c r="S33" s="12">
        <f>COUNTIF(E33:P33,"V")</f>
        <v/>
      </c>
      <c r="T33" s="13">
        <f>IF(COUNTA(E33:P33)=0,"",(Q33+R33)/COUNTA(E33:P33))</f>
        <v/>
      </c>
      <c r="U33" s="11" t="n"/>
    </row>
    <row r="34" ht="18" customHeight="1">
      <c r="A34" s="10" t="n">
        <v>21</v>
      </c>
      <c r="B34" s="10" t="inlineStr">
        <is>
          <t>CT070202</t>
        </is>
      </c>
      <c r="C34" s="11" t="inlineStr">
        <is>
          <t>Nguyễn Tuấn</t>
        </is>
      </c>
      <c r="D34" s="11" t="inlineStr">
        <is>
          <t>Anh</t>
        </is>
      </c>
      <c r="E34" s="10" t="inlineStr">
        <is>
          <t>x</t>
        </is>
      </c>
      <c r="F34" s="10" t="inlineStr">
        <is>
          <t>x</t>
        </is>
      </c>
      <c r="G34" s="10" t="inlineStr">
        <is>
          <t>x</t>
        </is>
      </c>
      <c r="H34" s="10" t="inlineStr">
        <is>
          <t>V</t>
        </is>
      </c>
      <c r="I34" s="10" t="inlineStr">
        <is>
          <t>x</t>
        </is>
      </c>
      <c r="J34" s="10" t="inlineStr">
        <is>
          <t>x</t>
        </is>
      </c>
      <c r="K34" s="10" t="inlineStr">
        <is>
          <t>x</t>
        </is>
      </c>
      <c r="L34" s="10" t="inlineStr">
        <is>
          <t>V</t>
        </is>
      </c>
      <c r="M34" s="10" t="inlineStr">
        <is>
          <t>x</t>
        </is>
      </c>
      <c r="N34" s="10" t="inlineStr">
        <is>
          <t>V</t>
        </is>
      </c>
      <c r="O34" s="10" t="inlineStr">
        <is>
          <t>x</t>
        </is>
      </c>
      <c r="P34" s="10" t="inlineStr">
        <is>
          <t>x</t>
        </is>
      </c>
      <c r="Q34" s="12">
        <f>COUNTIF(E34:P34,"x")</f>
        <v/>
      </c>
      <c r="R34" s="12">
        <f>COUNTIF(E34:P34,"M")</f>
        <v/>
      </c>
      <c r="S34" s="12">
        <f>COUNTIF(E34:P34,"V")</f>
        <v/>
      </c>
      <c r="T34" s="13">
        <f>IF(COUNTA(E34:P34)=0,"",(Q34+R34)/COUNTA(E34:P34))</f>
        <v/>
      </c>
      <c r="U34" s="11" t="n"/>
    </row>
    <row r="35" ht="18" customHeight="1">
      <c r="A35" s="10" t="n">
        <v>22</v>
      </c>
      <c r="B35" s="10" t="inlineStr">
        <is>
          <t>CT070207</t>
        </is>
      </c>
      <c r="C35" s="11" t="inlineStr">
        <is>
          <t>Nguyễn Huy</t>
        </is>
      </c>
      <c r="D35" s="11" t="inlineStr">
        <is>
          <t>Chính</t>
        </is>
      </c>
      <c r="E35" s="10" t="inlineStr">
        <is>
          <t>x</t>
        </is>
      </c>
      <c r="F35" s="10" t="inlineStr">
        <is>
          <t>x</t>
        </is>
      </c>
      <c r="G35" s="10" t="inlineStr">
        <is>
          <t>x</t>
        </is>
      </c>
      <c r="H35" s="10" t="inlineStr">
        <is>
          <t>x</t>
        </is>
      </c>
      <c r="I35" s="10" t="inlineStr">
        <is>
          <t>x</t>
        </is>
      </c>
      <c r="J35" s="10" t="inlineStr">
        <is>
          <t>x</t>
        </is>
      </c>
      <c r="K35" s="10" t="inlineStr">
        <is>
          <t>x</t>
        </is>
      </c>
      <c r="L35" s="10" t="inlineStr">
        <is>
          <t>x</t>
        </is>
      </c>
      <c r="M35" s="10" t="inlineStr">
        <is>
          <t>x</t>
        </is>
      </c>
      <c r="N35" s="10" t="inlineStr">
        <is>
          <t>x</t>
        </is>
      </c>
      <c r="O35" s="10" t="inlineStr">
        <is>
          <t>x</t>
        </is>
      </c>
      <c r="P35" s="10" t="inlineStr">
        <is>
          <t>x</t>
        </is>
      </c>
      <c r="Q35" s="12">
        <f>COUNTIF(E35:P35,"x")</f>
        <v/>
      </c>
      <c r="R35" s="12">
        <f>COUNTIF(E35:P35,"M")</f>
        <v/>
      </c>
      <c r="S35" s="12">
        <f>COUNTIF(E35:P35,"V")</f>
        <v/>
      </c>
      <c r="T35" s="13">
        <f>IF(COUNTA(E35:P35)=0,"",(Q35+R35)/COUNTA(E35:P35))</f>
        <v/>
      </c>
      <c r="U35" s="11" t="n"/>
    </row>
    <row r="36" ht="18" customHeight="1">
      <c r="A36" s="10" t="n">
        <v>23</v>
      </c>
      <c r="B36" s="10" t="inlineStr">
        <is>
          <t>CT070214</t>
        </is>
      </c>
      <c r="C36" s="11" t="inlineStr">
        <is>
          <t>Lê Phú</t>
        </is>
      </c>
      <c r="D36" s="11" t="inlineStr">
        <is>
          <t>Duy</t>
        </is>
      </c>
      <c r="E36" s="10" t="inlineStr">
        <is>
          <t>x</t>
        </is>
      </c>
      <c r="F36" s="10" t="inlineStr">
        <is>
          <t>x</t>
        </is>
      </c>
      <c r="G36" s="10" t="inlineStr">
        <is>
          <t>x</t>
        </is>
      </c>
      <c r="H36" s="10" t="inlineStr">
        <is>
          <t>x</t>
        </is>
      </c>
      <c r="I36" s="10" t="inlineStr">
        <is>
          <t>x</t>
        </is>
      </c>
      <c r="J36" s="10" t="inlineStr">
        <is>
          <t>x</t>
        </is>
      </c>
      <c r="K36" s="10" t="inlineStr">
        <is>
          <t>x</t>
        </is>
      </c>
      <c r="L36" s="10" t="inlineStr">
        <is>
          <t>x</t>
        </is>
      </c>
      <c r="M36" s="10" t="inlineStr">
        <is>
          <t>x</t>
        </is>
      </c>
      <c r="N36" s="10" t="inlineStr">
        <is>
          <t>x</t>
        </is>
      </c>
      <c r="O36" s="10" t="inlineStr">
        <is>
          <t>V</t>
        </is>
      </c>
      <c r="P36" s="10" t="inlineStr">
        <is>
          <t>x</t>
        </is>
      </c>
      <c r="Q36" s="12">
        <f>COUNTIF(E36:P36,"x")</f>
        <v/>
      </c>
      <c r="R36" s="12">
        <f>COUNTIF(E36:P36,"M")</f>
        <v/>
      </c>
      <c r="S36" s="12">
        <f>COUNTIF(E36:P36,"V")</f>
        <v/>
      </c>
      <c r="T36" s="13">
        <f>IF(COUNTA(E36:P36)=0,"",(Q36+R36)/COUNTA(E36:P36))</f>
        <v/>
      </c>
      <c r="U36" s="11" t="n"/>
    </row>
    <row r="37" ht="18" customHeight="1">
      <c r="A37" s="10" t="n">
        <v>24</v>
      </c>
      <c r="B37" s="10" t="inlineStr">
        <is>
          <t>CT070208</t>
        </is>
      </c>
      <c r="C37" s="11" t="inlineStr">
        <is>
          <t>Đỗ Minh</t>
        </is>
      </c>
      <c r="D37" s="11" t="inlineStr">
        <is>
          <t>Đăng</t>
        </is>
      </c>
      <c r="E37" s="10" t="inlineStr">
        <is>
          <t>x</t>
        </is>
      </c>
      <c r="F37" s="10" t="inlineStr">
        <is>
          <t>x</t>
        </is>
      </c>
      <c r="G37" s="10" t="inlineStr">
        <is>
          <t>x</t>
        </is>
      </c>
      <c r="H37" s="10" t="inlineStr">
        <is>
          <t>x</t>
        </is>
      </c>
      <c r="I37" s="10" t="inlineStr">
        <is>
          <t>x</t>
        </is>
      </c>
      <c r="J37" s="10" t="inlineStr">
        <is>
          <t>x</t>
        </is>
      </c>
      <c r="K37" s="10" t="inlineStr">
        <is>
          <t>x</t>
        </is>
      </c>
      <c r="L37" s="10" t="inlineStr">
        <is>
          <t>V</t>
        </is>
      </c>
      <c r="M37" s="10" t="inlineStr">
        <is>
          <t>x</t>
        </is>
      </c>
      <c r="N37" s="10" t="inlineStr">
        <is>
          <t>M</t>
        </is>
      </c>
      <c r="O37" s="10" t="inlineStr">
        <is>
          <t>V</t>
        </is>
      </c>
      <c r="P37" s="10" t="inlineStr">
        <is>
          <t>x</t>
        </is>
      </c>
      <c r="Q37" s="12">
        <f>COUNTIF(E37:P37,"x")</f>
        <v/>
      </c>
      <c r="R37" s="12">
        <f>COUNTIF(E37:P37,"M")</f>
        <v/>
      </c>
      <c r="S37" s="12">
        <f>COUNTIF(E37:P37,"V")</f>
        <v/>
      </c>
      <c r="T37" s="13">
        <f>IF(COUNTA(E37:P37)=0,"",(Q37+R37)/COUNTA(E37:P37))</f>
        <v/>
      </c>
      <c r="U37" s="11" t="n"/>
    </row>
    <row r="38" ht="18" customHeight="1">
      <c r="A38" s="10" t="n">
        <v>25</v>
      </c>
      <c r="B38" s="10" t="inlineStr">
        <is>
          <t>CT070228</t>
        </is>
      </c>
      <c r="C38" s="11" t="inlineStr">
        <is>
          <t>Lê Văn</t>
        </is>
      </c>
      <c r="D38" s="11" t="inlineStr">
        <is>
          <t>Khiêm</t>
        </is>
      </c>
      <c r="E38" s="10" t="inlineStr">
        <is>
          <t>x</t>
        </is>
      </c>
      <c r="F38" s="10" t="inlineStr">
        <is>
          <t>V</t>
        </is>
      </c>
      <c r="G38" s="10" t="inlineStr">
        <is>
          <t>M</t>
        </is>
      </c>
      <c r="H38" s="10" t="inlineStr">
        <is>
          <t>x</t>
        </is>
      </c>
      <c r="I38" s="10" t="inlineStr">
        <is>
          <t>x</t>
        </is>
      </c>
      <c r="J38" s="10" t="inlineStr">
        <is>
          <t>x</t>
        </is>
      </c>
      <c r="K38" s="10" t="inlineStr">
        <is>
          <t>x</t>
        </is>
      </c>
      <c r="L38" s="10" t="inlineStr">
        <is>
          <t>x</t>
        </is>
      </c>
      <c r="M38" s="10" t="inlineStr">
        <is>
          <t>x</t>
        </is>
      </c>
      <c r="N38" s="10" t="inlineStr">
        <is>
          <t>x</t>
        </is>
      </c>
      <c r="O38" s="10" t="inlineStr">
        <is>
          <t>x</t>
        </is>
      </c>
      <c r="P38" s="10" t="inlineStr">
        <is>
          <t>M</t>
        </is>
      </c>
      <c r="Q38" s="12">
        <f>COUNTIF(E38:P38,"x")</f>
        <v/>
      </c>
      <c r="R38" s="12">
        <f>COUNTIF(E38:P38,"M")</f>
        <v/>
      </c>
      <c r="S38" s="12">
        <f>COUNTIF(E38:P38,"V")</f>
        <v/>
      </c>
      <c r="T38" s="13">
        <f>IF(COUNTA(E38:P38)=0,"",(Q38+R38)/COUNTA(E38:P38))</f>
        <v/>
      </c>
      <c r="U38" s="11" t="n"/>
    </row>
    <row r="39" ht="18" customHeight="1">
      <c r="A39" s="10" t="n">
        <v>26</v>
      </c>
      <c r="B39" s="10" t="inlineStr">
        <is>
          <t>CT070232</t>
        </is>
      </c>
      <c r="C39" s="11" t="inlineStr">
        <is>
          <t>Trần Hoàng</t>
        </is>
      </c>
      <c r="D39" s="11" t="inlineStr">
        <is>
          <t>Minh</t>
        </is>
      </c>
      <c r="E39" s="10" t="inlineStr">
        <is>
          <t>x</t>
        </is>
      </c>
      <c r="F39" s="10" t="inlineStr">
        <is>
          <t>x</t>
        </is>
      </c>
      <c r="G39" s="10" t="inlineStr">
        <is>
          <t>x</t>
        </is>
      </c>
      <c r="H39" s="10" t="inlineStr">
        <is>
          <t>x</t>
        </is>
      </c>
      <c r="I39" s="10" t="inlineStr">
        <is>
          <t>M</t>
        </is>
      </c>
      <c r="J39" s="10" t="inlineStr">
        <is>
          <t>V</t>
        </is>
      </c>
      <c r="K39" s="10" t="inlineStr">
        <is>
          <t>x</t>
        </is>
      </c>
      <c r="L39" s="10" t="inlineStr">
        <is>
          <t>V</t>
        </is>
      </c>
      <c r="M39" s="10" t="inlineStr">
        <is>
          <t>x</t>
        </is>
      </c>
      <c r="N39" s="10" t="inlineStr">
        <is>
          <t>x</t>
        </is>
      </c>
      <c r="O39" s="10" t="inlineStr">
        <is>
          <t>V</t>
        </is>
      </c>
      <c r="P39" s="10" t="inlineStr">
        <is>
          <t>M</t>
        </is>
      </c>
      <c r="Q39" s="12">
        <f>COUNTIF(E39:P39,"x")</f>
        <v/>
      </c>
      <c r="R39" s="12">
        <f>COUNTIF(E39:P39,"M")</f>
        <v/>
      </c>
      <c r="S39" s="12">
        <f>COUNTIF(E39:P39,"V")</f>
        <v/>
      </c>
      <c r="T39" s="13">
        <f>IF(COUNTA(E39:P39)=0,"",(Q39+R39)/COUNTA(E39:P39))</f>
        <v/>
      </c>
      <c r="U39" s="11" t="n"/>
    </row>
    <row r="40" ht="18" customHeight="1">
      <c r="A40" s="10" t="n">
        <v>27</v>
      </c>
      <c r="B40" s="10" t="inlineStr">
        <is>
          <t>CT070248</t>
        </is>
      </c>
      <c r="C40" s="11" t="inlineStr">
        <is>
          <t>Nguyễn Đình</t>
        </is>
      </c>
      <c r="D40" s="11" t="inlineStr">
        <is>
          <t>Tấn</t>
        </is>
      </c>
      <c r="E40" s="10" t="inlineStr">
        <is>
          <t>x</t>
        </is>
      </c>
      <c r="F40" s="10" t="inlineStr">
        <is>
          <t>x</t>
        </is>
      </c>
      <c r="G40" s="10" t="inlineStr">
        <is>
          <t>x</t>
        </is>
      </c>
      <c r="H40" s="10" t="inlineStr">
        <is>
          <t>x</t>
        </is>
      </c>
      <c r="I40" s="10" t="inlineStr">
        <is>
          <t>x</t>
        </is>
      </c>
      <c r="J40" s="10" t="inlineStr">
        <is>
          <t>x</t>
        </is>
      </c>
      <c r="K40" s="10" t="inlineStr">
        <is>
          <t>x</t>
        </is>
      </c>
      <c r="L40" s="10" t="inlineStr">
        <is>
          <t>x</t>
        </is>
      </c>
      <c r="M40" s="10" t="inlineStr">
        <is>
          <t>x</t>
        </is>
      </c>
      <c r="N40" s="10" t="inlineStr">
        <is>
          <t>x</t>
        </is>
      </c>
      <c r="O40" s="10" t="inlineStr">
        <is>
          <t>x</t>
        </is>
      </c>
      <c r="P40" s="10" t="inlineStr">
        <is>
          <t>x</t>
        </is>
      </c>
      <c r="Q40" s="12">
        <f>COUNTIF(E40:P40,"x")</f>
        <v/>
      </c>
      <c r="R40" s="12">
        <f>COUNTIF(E40:P40,"M")</f>
        <v/>
      </c>
      <c r="S40" s="12">
        <f>COUNTIF(E40:P40,"V")</f>
        <v/>
      </c>
      <c r="T40" s="13">
        <f>IF(COUNTA(E40:P40)=0,"",(Q40+R40)/COUNTA(E40:P40))</f>
        <v/>
      </c>
      <c r="U40" s="11" t="n"/>
    </row>
    <row r="41" ht="18" customHeight="1">
      <c r="A41" s="10" t="n">
        <v>28</v>
      </c>
      <c r="B41" s="10" t="inlineStr">
        <is>
          <t>CT070256</t>
        </is>
      </c>
      <c r="C41" s="11" t="inlineStr">
        <is>
          <t>Lê Chí</t>
        </is>
      </c>
      <c r="D41" s="11" t="inlineStr">
        <is>
          <t>Trung</t>
        </is>
      </c>
      <c r="E41" s="10" t="inlineStr">
        <is>
          <t>x</t>
        </is>
      </c>
      <c r="F41" s="10" t="inlineStr">
        <is>
          <t>x</t>
        </is>
      </c>
      <c r="G41" s="10" t="inlineStr">
        <is>
          <t>x</t>
        </is>
      </c>
      <c r="H41" s="10" t="inlineStr">
        <is>
          <t>V</t>
        </is>
      </c>
      <c r="I41" s="10" t="inlineStr">
        <is>
          <t>x</t>
        </is>
      </c>
      <c r="J41" s="10" t="inlineStr">
        <is>
          <t>V</t>
        </is>
      </c>
      <c r="K41" s="10" t="inlineStr">
        <is>
          <t>x</t>
        </is>
      </c>
      <c r="L41" s="10" t="inlineStr">
        <is>
          <t>x</t>
        </is>
      </c>
      <c r="M41" s="10" t="inlineStr">
        <is>
          <t>x</t>
        </is>
      </c>
      <c r="N41" s="10" t="inlineStr">
        <is>
          <t>x</t>
        </is>
      </c>
      <c r="O41" s="10" t="inlineStr">
        <is>
          <t>x</t>
        </is>
      </c>
      <c r="P41" s="10" t="inlineStr">
        <is>
          <t>x</t>
        </is>
      </c>
      <c r="Q41" s="12">
        <f>COUNTIF(E41:P41,"x")</f>
        <v/>
      </c>
      <c r="R41" s="12">
        <f>COUNTIF(E41:P41,"M")</f>
        <v/>
      </c>
      <c r="S41" s="12">
        <f>COUNTIF(E41:P41,"V")</f>
        <v/>
      </c>
      <c r="T41" s="13">
        <f>IF(COUNTA(E41:P41)=0,"",(Q41+R41)/COUNTA(E41:P41))</f>
        <v/>
      </c>
      <c r="U41" s="11" t="n"/>
    </row>
    <row r="42" ht="18" customHeight="1">
      <c r="A42" s="10" t="n">
        <v>29</v>
      </c>
      <c r="B42" s="10" t="inlineStr">
        <is>
          <t>CT070262</t>
        </is>
      </c>
      <c r="C42" s="11" t="inlineStr">
        <is>
          <t>Nguyễn Văn</t>
        </is>
      </c>
      <c r="D42" s="11" t="inlineStr">
        <is>
          <t>Việt</t>
        </is>
      </c>
      <c r="E42" s="10" t="inlineStr">
        <is>
          <t>x</t>
        </is>
      </c>
      <c r="F42" s="10" t="inlineStr">
        <is>
          <t>V</t>
        </is>
      </c>
      <c r="G42" s="10" t="inlineStr">
        <is>
          <t>x</t>
        </is>
      </c>
      <c r="H42" s="10" t="inlineStr">
        <is>
          <t>x</t>
        </is>
      </c>
      <c r="I42" s="10" t="inlineStr">
        <is>
          <t>x</t>
        </is>
      </c>
      <c r="J42" s="10" t="inlineStr">
        <is>
          <t>V</t>
        </is>
      </c>
      <c r="K42" s="10" t="inlineStr">
        <is>
          <t>x</t>
        </is>
      </c>
      <c r="L42" s="10" t="inlineStr">
        <is>
          <t>x</t>
        </is>
      </c>
      <c r="M42" s="10" t="inlineStr">
        <is>
          <t>x</t>
        </is>
      </c>
      <c r="N42" s="10" t="inlineStr">
        <is>
          <t>x</t>
        </is>
      </c>
      <c r="O42" s="10" t="inlineStr">
        <is>
          <t>x</t>
        </is>
      </c>
      <c r="P42" s="10" t="inlineStr">
        <is>
          <t>x</t>
        </is>
      </c>
      <c r="Q42" s="12">
        <f>COUNTIF(E42:P42,"x")</f>
        <v/>
      </c>
      <c r="R42" s="12">
        <f>COUNTIF(E42:P42,"M")</f>
        <v/>
      </c>
      <c r="S42" s="12">
        <f>COUNTIF(E42:P42,"V")</f>
        <v/>
      </c>
      <c r="T42" s="13">
        <f>IF(COUNTA(E42:P42)=0,"",(Q42+R42)/COUNTA(E42:P42))</f>
        <v/>
      </c>
      <c r="U42" s="11" t="n"/>
    </row>
    <row r="43" ht="18" customHeight="1">
      <c r="A43" s="10" t="n">
        <v>30</v>
      </c>
      <c r="B43" s="10" t="inlineStr">
        <is>
          <t>CT070312</t>
        </is>
      </c>
      <c r="C43" s="11" t="inlineStr">
        <is>
          <t>Kiều Cao</t>
        </is>
      </c>
      <c r="D43" s="11" t="inlineStr">
        <is>
          <t>Dương</t>
        </is>
      </c>
      <c r="E43" s="10" t="inlineStr">
        <is>
          <t>x</t>
        </is>
      </c>
      <c r="F43" s="10" t="inlineStr">
        <is>
          <t>V</t>
        </is>
      </c>
      <c r="G43" s="10" t="inlineStr">
        <is>
          <t>x</t>
        </is>
      </c>
      <c r="H43" s="10" t="inlineStr">
        <is>
          <t>x</t>
        </is>
      </c>
      <c r="I43" s="10" t="inlineStr">
        <is>
          <t>x</t>
        </is>
      </c>
      <c r="J43" s="10" t="inlineStr">
        <is>
          <t>M</t>
        </is>
      </c>
      <c r="K43" s="10" t="inlineStr">
        <is>
          <t>x</t>
        </is>
      </c>
      <c r="L43" s="10" t="inlineStr">
        <is>
          <t>M</t>
        </is>
      </c>
      <c r="M43" s="10" t="inlineStr">
        <is>
          <t>x</t>
        </is>
      </c>
      <c r="N43" s="10" t="inlineStr">
        <is>
          <t>x</t>
        </is>
      </c>
      <c r="O43" s="10" t="inlineStr">
        <is>
          <t>x</t>
        </is>
      </c>
      <c r="P43" s="10" t="inlineStr">
        <is>
          <t>V</t>
        </is>
      </c>
      <c r="Q43" s="12">
        <f>COUNTIF(E43:P43,"x")</f>
        <v/>
      </c>
      <c r="R43" s="12">
        <f>COUNTIF(E43:P43,"M")</f>
        <v/>
      </c>
      <c r="S43" s="12">
        <f>COUNTIF(E43:P43,"V")</f>
        <v/>
      </c>
      <c r="T43" s="13">
        <f>IF(COUNTA(E43:P43)=0,"",(Q43+R43)/COUNTA(E43:P43))</f>
        <v/>
      </c>
      <c r="U43" s="11" t="n"/>
    </row>
    <row r="44" ht="18" customHeight="1">
      <c r="A44" s="10" t="n">
        <v>31</v>
      </c>
      <c r="B44" s="10" t="inlineStr">
        <is>
          <t>CT070319</t>
        </is>
      </c>
      <c r="C44" s="11" t="inlineStr">
        <is>
          <t>Nguyễn Huy</t>
        </is>
      </c>
      <c r="D44" s="11" t="inlineStr">
        <is>
          <t>Hoàng</t>
        </is>
      </c>
      <c r="E44" s="10" t="inlineStr">
        <is>
          <t>x</t>
        </is>
      </c>
      <c r="F44" s="10" t="inlineStr">
        <is>
          <t>x</t>
        </is>
      </c>
      <c r="G44" s="10" t="inlineStr">
        <is>
          <t>x</t>
        </is>
      </c>
      <c r="H44" s="10" t="inlineStr">
        <is>
          <t>x</t>
        </is>
      </c>
      <c r="I44" s="10" t="inlineStr">
        <is>
          <t>x</t>
        </is>
      </c>
      <c r="J44" s="10" t="inlineStr">
        <is>
          <t>x</t>
        </is>
      </c>
      <c r="K44" s="10" t="inlineStr">
        <is>
          <t>x</t>
        </is>
      </c>
      <c r="L44" s="10" t="inlineStr">
        <is>
          <t>x</t>
        </is>
      </c>
      <c r="M44" s="10" t="inlineStr">
        <is>
          <t>x</t>
        </is>
      </c>
      <c r="N44" s="10" t="inlineStr">
        <is>
          <t>x</t>
        </is>
      </c>
      <c r="O44" s="10" t="inlineStr">
        <is>
          <t>x</t>
        </is>
      </c>
      <c r="P44" s="10" t="inlineStr">
        <is>
          <t>x</t>
        </is>
      </c>
      <c r="Q44" s="12">
        <f>COUNTIF(E44:P44,"x")</f>
        <v/>
      </c>
      <c r="R44" s="12">
        <f>COUNTIF(E44:P44,"M")</f>
        <v/>
      </c>
      <c r="S44" s="12">
        <f>COUNTIF(E44:P44,"V")</f>
        <v/>
      </c>
      <c r="T44" s="13">
        <f>IF(COUNTA(E44:P44)=0,"",(Q44+R44)/COUNTA(E44:P44))</f>
        <v/>
      </c>
      <c r="U44" s="11" t="n"/>
    </row>
    <row r="45" ht="18" customHeight="1">
      <c r="A45" s="10" t="n">
        <v>32</v>
      </c>
      <c r="B45" s="10" t="inlineStr">
        <is>
          <t>CT070337</t>
        </is>
      </c>
      <c r="C45" s="11" t="inlineStr">
        <is>
          <t>Ngô Hồng</t>
        </is>
      </c>
      <c r="D45" s="11" t="inlineStr">
        <is>
          <t>Phong</t>
        </is>
      </c>
      <c r="E45" s="10" t="inlineStr">
        <is>
          <t>x</t>
        </is>
      </c>
      <c r="F45" s="10" t="inlineStr">
        <is>
          <t>x</t>
        </is>
      </c>
      <c r="G45" s="10" t="inlineStr">
        <is>
          <t>x</t>
        </is>
      </c>
      <c r="H45" s="10" t="inlineStr">
        <is>
          <t>x</t>
        </is>
      </c>
      <c r="I45" s="10" t="inlineStr">
        <is>
          <t>x</t>
        </is>
      </c>
      <c r="J45" s="10" t="inlineStr">
        <is>
          <t>x</t>
        </is>
      </c>
      <c r="K45" s="10" t="inlineStr">
        <is>
          <t>x</t>
        </is>
      </c>
      <c r="L45" s="10" t="inlineStr">
        <is>
          <t>x</t>
        </is>
      </c>
      <c r="M45" s="10" t="inlineStr">
        <is>
          <t>x</t>
        </is>
      </c>
      <c r="N45" s="10" t="inlineStr">
        <is>
          <t>x</t>
        </is>
      </c>
      <c r="O45" s="10" t="inlineStr">
        <is>
          <t>V</t>
        </is>
      </c>
      <c r="P45" s="10" t="inlineStr">
        <is>
          <t>x</t>
        </is>
      </c>
      <c r="Q45" s="12">
        <f>COUNTIF(E45:P45,"x")</f>
        <v/>
      </c>
      <c r="R45" s="12">
        <f>COUNTIF(E45:P45,"M")</f>
        <v/>
      </c>
      <c r="S45" s="12">
        <f>COUNTIF(E45:P45,"V")</f>
        <v/>
      </c>
      <c r="T45" s="13">
        <f>IF(COUNTA(E45:P45)=0,"",(Q45+R45)/COUNTA(E45:P45))</f>
        <v/>
      </c>
      <c r="U45" s="11" t="n"/>
    </row>
    <row r="46" ht="18" customHeight="1">
      <c r="A46" s="10" t="n">
        <v>33</v>
      </c>
      <c r="B46" s="10" t="inlineStr">
        <is>
          <t>CT070341</t>
        </is>
      </c>
      <c r="C46" s="11" t="inlineStr">
        <is>
          <t>Mai Hà</t>
        </is>
      </c>
      <c r="D46" s="11" t="inlineStr">
        <is>
          <t>Quân</t>
        </is>
      </c>
      <c r="E46" s="10" t="inlineStr">
        <is>
          <t>x</t>
        </is>
      </c>
      <c r="F46" s="10" t="inlineStr">
        <is>
          <t>x</t>
        </is>
      </c>
      <c r="G46" s="10" t="inlineStr">
        <is>
          <t>x</t>
        </is>
      </c>
      <c r="H46" s="10" t="inlineStr">
        <is>
          <t>M</t>
        </is>
      </c>
      <c r="I46" s="10" t="inlineStr">
        <is>
          <t>x</t>
        </is>
      </c>
      <c r="J46" s="10" t="inlineStr">
        <is>
          <t>x</t>
        </is>
      </c>
      <c r="K46" s="10" t="inlineStr">
        <is>
          <t>x</t>
        </is>
      </c>
      <c r="L46" s="10" t="inlineStr">
        <is>
          <t>V</t>
        </is>
      </c>
      <c r="M46" s="10" t="inlineStr">
        <is>
          <t>x</t>
        </is>
      </c>
      <c r="N46" s="10" t="inlineStr">
        <is>
          <t>M</t>
        </is>
      </c>
      <c r="O46" s="10" t="inlineStr">
        <is>
          <t>x</t>
        </is>
      </c>
      <c r="P46" s="10" t="inlineStr">
        <is>
          <t>x</t>
        </is>
      </c>
      <c r="Q46" s="12">
        <f>COUNTIF(E46:P46,"x")</f>
        <v/>
      </c>
      <c r="R46" s="12">
        <f>COUNTIF(E46:P46,"M")</f>
        <v/>
      </c>
      <c r="S46" s="12">
        <f>COUNTIF(E46:P46,"V")</f>
        <v/>
      </c>
      <c r="T46" s="13">
        <f>IF(COUNTA(E46:P46)=0,"",(Q46+R46)/COUNTA(E46:P46))</f>
        <v/>
      </c>
      <c r="U46" s="11" t="n"/>
    </row>
    <row r="47" ht="18" customHeight="1">
      <c r="A47" s="10" t="n">
        <v>34</v>
      </c>
      <c r="B47" s="10" t="inlineStr">
        <is>
          <t>CT070350</t>
        </is>
      </c>
      <c r="C47" s="11" t="inlineStr">
        <is>
          <t>Nguyễn Duy</t>
        </is>
      </c>
      <c r="D47" s="11" t="inlineStr">
        <is>
          <t>Thành</t>
        </is>
      </c>
      <c r="E47" s="10" t="inlineStr">
        <is>
          <t>x</t>
        </is>
      </c>
      <c r="F47" s="10" t="inlineStr">
        <is>
          <t>x</t>
        </is>
      </c>
      <c r="G47" s="10" t="inlineStr">
        <is>
          <t>x</t>
        </is>
      </c>
      <c r="H47" s="10" t="inlineStr">
        <is>
          <t>x</t>
        </is>
      </c>
      <c r="I47" s="10" t="inlineStr">
        <is>
          <t>x</t>
        </is>
      </c>
      <c r="J47" s="10" t="inlineStr">
        <is>
          <t>x</t>
        </is>
      </c>
      <c r="K47" s="10" t="inlineStr">
        <is>
          <t>x</t>
        </is>
      </c>
      <c r="L47" s="10" t="inlineStr">
        <is>
          <t>x</t>
        </is>
      </c>
      <c r="M47" s="10" t="inlineStr">
        <is>
          <t>x</t>
        </is>
      </c>
      <c r="N47" s="10" t="inlineStr">
        <is>
          <t>M</t>
        </is>
      </c>
      <c r="O47" s="10" t="inlineStr">
        <is>
          <t>M</t>
        </is>
      </c>
      <c r="P47" s="10" t="inlineStr">
        <is>
          <t>x</t>
        </is>
      </c>
      <c r="Q47" s="12">
        <f>COUNTIF(E47:P47,"x")</f>
        <v/>
      </c>
      <c r="R47" s="12">
        <f>COUNTIF(E47:P47,"M")</f>
        <v/>
      </c>
      <c r="S47" s="12">
        <f>COUNTIF(E47:P47,"V")</f>
        <v/>
      </c>
      <c r="T47" s="13">
        <f>IF(COUNTA(E47:P47)=0,"",(Q47+R47)/COUNTA(E47:P47))</f>
        <v/>
      </c>
      <c r="U47" s="11" t="n"/>
    </row>
    <row r="48" ht="18" customHeight="1">
      <c r="A48" s="10" t="n">
        <v>35</v>
      </c>
      <c r="B48" s="10" t="inlineStr">
        <is>
          <t>CT070352</t>
        </is>
      </c>
      <c r="C48" s="11" t="inlineStr">
        <is>
          <t>Trần Hoàng</t>
        </is>
      </c>
      <c r="D48" s="11" t="inlineStr">
        <is>
          <t>Thụ</t>
        </is>
      </c>
      <c r="E48" s="10" t="inlineStr">
        <is>
          <t>x</t>
        </is>
      </c>
      <c r="F48" s="10" t="inlineStr">
        <is>
          <t>x</t>
        </is>
      </c>
      <c r="G48" s="10" t="inlineStr">
        <is>
          <t>x</t>
        </is>
      </c>
      <c r="H48" s="10" t="inlineStr">
        <is>
          <t>x</t>
        </is>
      </c>
      <c r="I48" s="10" t="inlineStr">
        <is>
          <t>x</t>
        </is>
      </c>
      <c r="J48" s="10" t="inlineStr">
        <is>
          <t>x</t>
        </is>
      </c>
      <c r="K48" s="10" t="inlineStr">
        <is>
          <t>x</t>
        </is>
      </c>
      <c r="L48" s="10" t="inlineStr">
        <is>
          <t>V</t>
        </is>
      </c>
      <c r="M48" s="10" t="inlineStr">
        <is>
          <t>V</t>
        </is>
      </c>
      <c r="N48" s="10" t="inlineStr">
        <is>
          <t>x</t>
        </is>
      </c>
      <c r="O48" s="10" t="inlineStr">
        <is>
          <t>x</t>
        </is>
      </c>
      <c r="P48" s="10" t="inlineStr">
        <is>
          <t>V</t>
        </is>
      </c>
      <c r="Q48" s="12">
        <f>COUNTIF(E48:P48,"x")</f>
        <v/>
      </c>
      <c r="R48" s="12">
        <f>COUNTIF(E48:P48,"M")</f>
        <v/>
      </c>
      <c r="S48" s="12">
        <f>COUNTIF(E48:P48,"V")</f>
        <v/>
      </c>
      <c r="T48" s="13">
        <f>IF(COUNTA(E48:P48)=0,"",(Q48+R48)/COUNTA(E48:P48))</f>
        <v/>
      </c>
      <c r="U48" s="11" t="n"/>
    </row>
    <row r="49" ht="18" customHeight="1">
      <c r="A49" s="10" t="n">
        <v>36</v>
      </c>
      <c r="B49" s="10" t="inlineStr">
        <is>
          <t>CT070353</t>
        </is>
      </c>
      <c r="C49" s="11" t="inlineStr">
        <is>
          <t>Đỗ Minh</t>
        </is>
      </c>
      <c r="D49" s="11" t="inlineStr">
        <is>
          <t>Thuần</t>
        </is>
      </c>
      <c r="E49" s="10" t="inlineStr">
        <is>
          <t>x</t>
        </is>
      </c>
      <c r="F49" s="10" t="inlineStr">
        <is>
          <t>x</t>
        </is>
      </c>
      <c r="G49" s="10" t="inlineStr">
        <is>
          <t>x</t>
        </is>
      </c>
      <c r="H49" s="10" t="inlineStr">
        <is>
          <t>x</t>
        </is>
      </c>
      <c r="I49" s="10" t="inlineStr">
        <is>
          <t>x</t>
        </is>
      </c>
      <c r="J49" s="10" t="inlineStr">
        <is>
          <t>x</t>
        </is>
      </c>
      <c r="K49" s="10" t="inlineStr">
        <is>
          <t>x</t>
        </is>
      </c>
      <c r="L49" s="10" t="inlineStr">
        <is>
          <t>x</t>
        </is>
      </c>
      <c r="M49" s="10" t="inlineStr">
        <is>
          <t>x</t>
        </is>
      </c>
      <c r="N49" s="10" t="inlineStr">
        <is>
          <t>x</t>
        </is>
      </c>
      <c r="O49" s="10" t="inlineStr">
        <is>
          <t>x</t>
        </is>
      </c>
      <c r="P49" s="10" t="inlineStr">
        <is>
          <t>x</t>
        </is>
      </c>
      <c r="Q49" s="12">
        <f>COUNTIF(E49:P49,"x")</f>
        <v/>
      </c>
      <c r="R49" s="12">
        <f>COUNTIF(E49:P49,"M")</f>
        <v/>
      </c>
      <c r="S49" s="12">
        <f>COUNTIF(E49:P49,"V")</f>
        <v/>
      </c>
      <c r="T49" s="13">
        <f>IF(COUNTA(E49:P49)=0,"",(Q49+R49)/COUNTA(E49:P49))</f>
        <v/>
      </c>
      <c r="U49" s="11" t="n"/>
    </row>
    <row r="50" ht="18" customHeight="1">
      <c r="A50" s="10" t="n">
        <v>37</v>
      </c>
      <c r="B50" s="10" t="inlineStr">
        <is>
          <t>CT070361</t>
        </is>
      </c>
      <c r="C50" s="11" t="inlineStr">
        <is>
          <t>Nguyễn Trung</t>
        </is>
      </c>
      <c r="D50" s="11" t="inlineStr">
        <is>
          <t>Vĩnh</t>
        </is>
      </c>
      <c r="E50" s="10" t="inlineStr">
        <is>
          <t>x</t>
        </is>
      </c>
      <c r="F50" s="10" t="inlineStr">
        <is>
          <t>x</t>
        </is>
      </c>
      <c r="G50" s="10" t="inlineStr">
        <is>
          <t>x</t>
        </is>
      </c>
      <c r="H50" s="10" t="inlineStr">
        <is>
          <t>x</t>
        </is>
      </c>
      <c r="I50" s="10" t="inlineStr">
        <is>
          <t>x</t>
        </is>
      </c>
      <c r="J50" s="10" t="inlineStr">
        <is>
          <t>x</t>
        </is>
      </c>
      <c r="K50" s="10" t="inlineStr">
        <is>
          <t>x</t>
        </is>
      </c>
      <c r="L50" s="10" t="inlineStr">
        <is>
          <t>x</t>
        </is>
      </c>
      <c r="M50" s="10" t="inlineStr">
        <is>
          <t>x</t>
        </is>
      </c>
      <c r="N50" s="10" t="inlineStr">
        <is>
          <t>M</t>
        </is>
      </c>
      <c r="O50" s="10" t="inlineStr">
        <is>
          <t>x</t>
        </is>
      </c>
      <c r="P50" s="10" t="inlineStr">
        <is>
          <t>x</t>
        </is>
      </c>
      <c r="Q50" s="12">
        <f>COUNTIF(E50:P50,"x")</f>
        <v/>
      </c>
      <c r="R50" s="12">
        <f>COUNTIF(E50:P50,"M")</f>
        <v/>
      </c>
      <c r="S50" s="12">
        <f>COUNTIF(E50:P50,"V")</f>
        <v/>
      </c>
      <c r="T50" s="13">
        <f>IF(COUNTA(E50:P50)=0,"",(Q50+R50)/COUNTA(E50:P50))</f>
        <v/>
      </c>
      <c r="U50" s="11" t="n"/>
    </row>
    <row r="51" ht="18" customHeight="1">
      <c r="A51" s="10" t="n">
        <v>38</v>
      </c>
      <c r="B51" s="10" t="inlineStr">
        <is>
          <t>CT070362</t>
        </is>
      </c>
      <c r="C51" s="11" t="inlineStr">
        <is>
          <t>Phạm Thanh</t>
        </is>
      </c>
      <c r="D51" s="11" t="inlineStr">
        <is>
          <t>Vũ</t>
        </is>
      </c>
      <c r="E51" s="10" t="inlineStr">
        <is>
          <t>V</t>
        </is>
      </c>
      <c r="F51" s="10" t="inlineStr">
        <is>
          <t>x</t>
        </is>
      </c>
      <c r="G51" s="10" t="inlineStr">
        <is>
          <t>x</t>
        </is>
      </c>
      <c r="H51" s="10" t="inlineStr">
        <is>
          <t>x</t>
        </is>
      </c>
      <c r="I51" s="10" t="inlineStr">
        <is>
          <t>x</t>
        </is>
      </c>
      <c r="J51" s="10" t="inlineStr">
        <is>
          <t>M</t>
        </is>
      </c>
      <c r="K51" s="10" t="inlineStr">
        <is>
          <t>M</t>
        </is>
      </c>
      <c r="L51" s="10" t="inlineStr">
        <is>
          <t>x</t>
        </is>
      </c>
      <c r="M51" s="10" t="inlineStr">
        <is>
          <t>x</t>
        </is>
      </c>
      <c r="N51" s="10" t="inlineStr">
        <is>
          <t>x</t>
        </is>
      </c>
      <c r="O51" s="10" t="inlineStr">
        <is>
          <t>x</t>
        </is>
      </c>
      <c r="P51" s="10" t="inlineStr">
        <is>
          <t>x</t>
        </is>
      </c>
      <c r="Q51" s="12">
        <f>COUNTIF(E51:P51,"x")</f>
        <v/>
      </c>
      <c r="R51" s="12">
        <f>COUNTIF(E51:P51,"M")</f>
        <v/>
      </c>
      <c r="S51" s="12">
        <f>COUNTIF(E51:P51,"V")</f>
        <v/>
      </c>
      <c r="T51" s="13">
        <f>IF(COUNTA(E51:P51)=0,"",(Q51+R51)/COUNTA(E51:P51))</f>
        <v/>
      </c>
      <c r="U51" s="11" t="n"/>
    </row>
    <row r="52" ht="18" customHeight="1">
      <c r="A52" s="10" t="n">
        <v>39</v>
      </c>
      <c r="B52" s="10" t="inlineStr">
        <is>
          <t>CT070365</t>
        </is>
      </c>
      <c r="C52" s="11" t="inlineStr">
        <is>
          <t>Nguyễn Thị Kim</t>
        </is>
      </c>
      <c r="D52" s="11" t="inlineStr">
        <is>
          <t>Yến</t>
        </is>
      </c>
      <c r="E52" s="10" t="inlineStr">
        <is>
          <t>x</t>
        </is>
      </c>
      <c r="F52" s="10" t="inlineStr">
        <is>
          <t>M</t>
        </is>
      </c>
      <c r="G52" s="10" t="inlineStr">
        <is>
          <t>x</t>
        </is>
      </c>
      <c r="H52" s="10" t="inlineStr">
        <is>
          <t>M</t>
        </is>
      </c>
      <c r="I52" s="10" t="inlineStr">
        <is>
          <t>x</t>
        </is>
      </c>
      <c r="J52" s="10" t="inlineStr">
        <is>
          <t>M</t>
        </is>
      </c>
      <c r="K52" s="10" t="inlineStr">
        <is>
          <t>x</t>
        </is>
      </c>
      <c r="L52" s="10" t="inlineStr">
        <is>
          <t>x</t>
        </is>
      </c>
      <c r="M52" s="10" t="inlineStr">
        <is>
          <t>x</t>
        </is>
      </c>
      <c r="N52" s="10" t="inlineStr">
        <is>
          <t>x</t>
        </is>
      </c>
      <c r="O52" s="10" t="inlineStr">
        <is>
          <t>x</t>
        </is>
      </c>
      <c r="P52" s="10" t="inlineStr">
        <is>
          <t>x</t>
        </is>
      </c>
      <c r="Q52" s="12">
        <f>COUNTIF(E52:P52,"x")</f>
        <v/>
      </c>
      <c r="R52" s="12">
        <f>COUNTIF(E52:P52,"M")</f>
        <v/>
      </c>
      <c r="S52" s="12">
        <f>COUNTIF(E52:P52,"V")</f>
        <v/>
      </c>
      <c r="T52" s="13">
        <f>IF(COUNTA(E52:P52)=0,"",(Q52+R52)/COUNTA(E52:P52))</f>
        <v/>
      </c>
      <c r="U52" s="11" t="n"/>
    </row>
    <row r="53" ht="20" customHeight="1">
      <c r="A53" s="14" t="inlineStr">
        <is>
          <t>Số SV có mặt (x + M)</t>
        </is>
      </c>
      <c r="B53" s="15" t="n"/>
      <c r="C53" s="15" t="n"/>
      <c r="D53" s="15" t="n"/>
      <c r="E53" s="16">
        <f>COUNTIF(E14:E52,"x")+COUNTIF(E14:E52,"M")</f>
        <v/>
      </c>
      <c r="F53" s="16">
        <f>COUNTIF(F14:F52,"x")+COUNTIF(F14:F52,"M")</f>
        <v/>
      </c>
      <c r="G53" s="16">
        <f>COUNTIF(G14:G52,"x")+COUNTIF(G14:G52,"M")</f>
        <v/>
      </c>
      <c r="H53" s="16">
        <f>COUNTIF(H14:H52,"x")+COUNTIF(H14:H52,"M")</f>
        <v/>
      </c>
      <c r="I53" s="16">
        <f>COUNTIF(I14:I52,"x")+COUNTIF(I14:I52,"M")</f>
        <v/>
      </c>
      <c r="J53" s="16">
        <f>COUNTIF(J14:J52,"x")+COUNTIF(J14:J52,"M")</f>
        <v/>
      </c>
      <c r="K53" s="16">
        <f>COUNTIF(K14:K52,"x")+COUNTIF(K14:K52,"M")</f>
        <v/>
      </c>
      <c r="L53" s="16">
        <f>COUNTIF(L14:L52,"x")+COUNTIF(L14:L52,"M")</f>
        <v/>
      </c>
      <c r="M53" s="16">
        <f>COUNTIF(M14:M52,"x")+COUNTIF(M14:M52,"M")</f>
        <v/>
      </c>
      <c r="N53" s="16">
        <f>COUNTIF(N14:N52,"x")+COUNTIF(N14:N52,"M")</f>
        <v/>
      </c>
      <c r="O53" s="16">
        <f>COUNTIF(O14:O52,"x")+COUNTIF(O14:O52,"M")</f>
        <v/>
      </c>
      <c r="P53" s="16">
        <f>COUNTIF(P14:P52,"x")+COUNTIF(P14:P52,"M")</f>
        <v/>
      </c>
      <c r="Q53" s="16">
        <f>SUM(Q14:Q52)+SUM(R14:R52)</f>
        <v/>
      </c>
      <c r="R53" s="17" t="n"/>
      <c r="S53" s="16" t="n"/>
      <c r="T53" s="18">
        <f>IF(COUNTA(E14:P52)=0,"",Q53/COUNTA(E14:P52))</f>
        <v/>
      </c>
      <c r="U53" s="19" t="inlineStr">
        <is>
          <t>← Tỷ lệ chuyên cần cả lớp</t>
        </is>
      </c>
    </row>
    <row r="54" ht="20" customHeight="1">
      <c r="A54" s="14" t="inlineStr">
        <is>
          <t>Số SV vắng (V)</t>
        </is>
      </c>
      <c r="B54" s="15" t="n"/>
      <c r="C54" s="15" t="n"/>
      <c r="D54" s="15" t="n"/>
      <c r="E54" s="16">
        <f>COUNTIF(E14:E52,"V")</f>
        <v/>
      </c>
      <c r="F54" s="16">
        <f>COUNTIF(F14:F52,"V")</f>
        <v/>
      </c>
      <c r="G54" s="16">
        <f>COUNTIF(G14:G52,"V")</f>
        <v/>
      </c>
      <c r="H54" s="16">
        <f>COUNTIF(H14:H52,"V")</f>
        <v/>
      </c>
      <c r="I54" s="16">
        <f>COUNTIF(I14:I52,"V")</f>
        <v/>
      </c>
      <c r="J54" s="16">
        <f>COUNTIF(J14:J52,"V")</f>
        <v/>
      </c>
      <c r="K54" s="16">
        <f>COUNTIF(K14:K52,"V")</f>
        <v/>
      </c>
      <c r="L54" s="16">
        <f>COUNTIF(L14:L52,"V")</f>
        <v/>
      </c>
      <c r="M54" s="16">
        <f>COUNTIF(M14:M52,"V")</f>
        <v/>
      </c>
      <c r="N54" s="16">
        <f>COUNTIF(N14:N52,"V")</f>
        <v/>
      </c>
      <c r="O54" s="16">
        <f>COUNTIF(O14:O52,"V")</f>
        <v/>
      </c>
      <c r="P54" s="16">
        <f>COUNTIF(P14:P52,"V")</f>
        <v/>
      </c>
      <c r="Q54" s="16">
        <f>SUM(S14:S52)</f>
        <v/>
      </c>
      <c r="R54" s="20" t="n"/>
      <c r="S54" s="17" t="n"/>
      <c r="T54" s="16" t="n"/>
      <c r="U54" s="16" t="n"/>
    </row>
    <row r="56">
      <c r="A56" s="21" t="inlineStr">
        <is>
          <t>Ký hiệu:  x – Có mặt;   M – Đi muộn (tính là có mặt);   V – Vắng.   Tỷ lệ chuyên cần = (Có mặt + Đi muộn) / Tổng số buổi. Tỷ lệ dưới 80% được tô đỏ.</t>
        </is>
      </c>
    </row>
    <row r="57">
      <c r="A57" s="21" t="inlineStr">
        <is>
          <t>Ghi chú: Thầy cô vui lòng giữ nguyên cấu trúc của worksheet để đảm bảo tính chính xác khi nhập dữ liệu vào hệ thống!</t>
        </is>
      </c>
    </row>
    <row r="59">
      <c r="Q59" s="22" t="inlineStr">
        <is>
          <t xml:space="preserve">Hà Nội, ngày       tháng       năm         </t>
        </is>
      </c>
    </row>
    <row r="60">
      <c r="A60" s="2" t="inlineStr">
        <is>
          <t>GIẢNG VIÊN GIẢNG DẠY</t>
        </is>
      </c>
      <c r="F60" s="2" t="inlineStr">
        <is>
          <t>XÁC NHẬN</t>
        </is>
      </c>
      <c r="Q60" s="2" t="inlineStr">
        <is>
          <t>ĐƠN VỊ TIẾP NHẬN</t>
        </is>
      </c>
    </row>
    <row r="61">
      <c r="A61" s="2" t="inlineStr">
        <is>
          <t>(Ký, ghi rõ họ tên)</t>
        </is>
      </c>
      <c r="F61" s="2" t="inlineStr">
        <is>
          <t>CỦA LÃNH ĐẠO KHOA</t>
        </is>
      </c>
      <c r="Q61" s="2" t="inlineStr">
        <is>
          <t>(PHÒNG KT&amp;ĐBCLĐT)</t>
        </is>
      </c>
    </row>
  </sheetData>
  <mergeCells count="45">
    <mergeCell ref="C12:D13"/>
    <mergeCell ref="A53:D53"/>
    <mergeCell ref="B12:B13"/>
    <mergeCell ref="C6:J6"/>
    <mergeCell ref="F61:O61"/>
    <mergeCell ref="K7:N7"/>
    <mergeCell ref="K10:N10"/>
    <mergeCell ref="A56:U56"/>
    <mergeCell ref="A6:B6"/>
    <mergeCell ref="A2:F2"/>
    <mergeCell ref="F60:O60"/>
    <mergeCell ref="K6:N6"/>
    <mergeCell ref="A7:B7"/>
    <mergeCell ref="A12:A13"/>
    <mergeCell ref="A57:U57"/>
    <mergeCell ref="C10:J10"/>
    <mergeCell ref="A5:U5"/>
    <mergeCell ref="Q12:T12"/>
    <mergeCell ref="U12:U13"/>
    <mergeCell ref="O8:Q8"/>
    <mergeCell ref="K9:N9"/>
    <mergeCell ref="A60:D60"/>
    <mergeCell ref="Q60:U60"/>
    <mergeCell ref="C9:J9"/>
    <mergeCell ref="A4:U4"/>
    <mergeCell ref="G1:U1"/>
    <mergeCell ref="A61:D61"/>
    <mergeCell ref="A54:D54"/>
    <mergeCell ref="Q59:U59"/>
    <mergeCell ref="O7:Q7"/>
    <mergeCell ref="A8:B8"/>
    <mergeCell ref="C8:J8"/>
    <mergeCell ref="O10:Q10"/>
    <mergeCell ref="E12:P12"/>
    <mergeCell ref="Q61:U61"/>
    <mergeCell ref="O6:Q6"/>
    <mergeCell ref="C7:J7"/>
    <mergeCell ref="G2:U2"/>
    <mergeCell ref="A1:F1"/>
    <mergeCell ref="A10:B10"/>
    <mergeCell ref="O9:Q9"/>
    <mergeCell ref="K8:N8"/>
    <mergeCell ref="Q54:S54"/>
    <mergeCell ref="A9:B9"/>
    <mergeCell ref="Q53:R53"/>
  </mergeCells>
  <conditionalFormatting sqref="E14:P52">
    <cfRule type="cellIs" priority="1" operator="equal" dxfId="0">
      <formula>"V"</formula>
    </cfRule>
    <cfRule type="cellIs" priority="2" operator="equal" dxfId="1">
      <formula>"M"</formula>
    </cfRule>
  </conditionalFormatting>
  <conditionalFormatting sqref="T14:T52">
    <cfRule type="expression" priority="3" dxfId="2">
      <formula>AND(T14&lt;&gt;"",T14&lt;0.8)</formula>
    </cfRule>
  </conditionalFormatting>
  <dataValidations count="1">
    <dataValidation sqref="E14:P52" showDropDown="0" showInputMessage="0" showErrorMessage="0" allowBlank="1" errorTitle="Ký hiệu không hợp lệ" error="Chỉ nhập x (có mặt), M (đi muộn) hoặc V (vắng)" type="list">
      <formula1>"x,M,V"</formula1>
    </dataValidation>
  </dataValidation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2026-10-04T03:43:24Z</dcterms:created>
  <dcterms:modified xmlns:dcterms="http://purl.org/dc/terms/" xmlns:xsi="http://www.w3.org/2001/XMLSchema-instance" xsi:type="dcterms:W3CDTF">2026-10-04T03:43:24Z</dcterms:modified>
</cp:coreProperties>
</file>